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 sheetId="1" state="visible" r:id="rId3"/>
    <sheet name="Track Tags" sheetId="2" state="visible" r:id="rId4"/>
    <sheet name="Tag Dictionary" sheetId="3" state="visible" r:id="rId5"/>
    <sheet name="Source Reconciliation" sheetId="4" state="visible" r:id="rId6"/>
    <sheet name="Coverage QA"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<sst xmlns="http://schemas.openxmlformats.org/spreadsheetml/2006/main" count="530" uniqueCount="370">
  <si>
    <t xml:space="preserve">The Matrx Alchemizr — Act III Tag Assignment</t>
  </si>
  <si>
    <t xml:space="preserve">Tags drive the falling-tag rain field and the GO match query in the Vibes &amp; Scribes module.</t>
  </si>
  <si>
    <t xml:space="preserve">HOW TO USE THIS WORKBOOK</t>
  </si>
  <si>
    <t xml:space="preserve">Track Tags</t>
  </si>
  <si>
    <t xml:space="preserve">One row per Act III track. The five yellow tag columns are the editable cells — everything else is reference or formula.</t>
  </si>
  <si>
    <t xml:space="preserve">Tag Dictionary</t>
  </si>
  <si>
    <t xml:space="preserve">The closed vocabulary. Only labels listed there may be typed into Track Tags; anything else is rejected by the database seed.</t>
  </si>
  <si>
    <t xml:space="preserve">Source Reconciliation</t>
  </si>
  <si>
    <t xml:space="preserve">Which source each track was tagged from, and why one supplied workbook was set aside.</t>
  </si>
  <si>
    <t xml:space="preserve">Coverage QA</t>
  </si>
  <si>
    <t xml:space="preserve">Live counts. Every figure recalculates from Track Tags.</t>
  </si>
  <si>
    <t xml:space="preserve">EDITING RULES</t>
  </si>
  <si>
    <t xml:space="preserve">Format</t>
  </si>
  <si>
    <t xml:space="preserve">Comma-separated labels, e.g. Dark, Gritty, Empowering. Spelling and capitalisation must match the Tag Dictionary exactly — the match query compares literal strings.</t>
  </si>
  <si>
    <t xml:space="preserve">Example row</t>
  </si>
  <si>
    <t xml:space="preserve">See row 2 of Track Tags (Welcome To The Fire) for the expected format.</t>
  </si>
  <si>
    <t xml:space="preserve">Categories</t>
  </si>
  <si>
    <t xml:space="preserve">A label belongs to exactly one category. Scoring is per category, so putting Fire in the Theme column would never match a track tagged Fire under Element.</t>
  </si>
  <si>
    <t xml:space="preserve">After editing</t>
  </si>
  <si>
    <t xml:space="preserve">Re-generate supabase/migrations/20260814010000_seed_act_three_alchemizr_tags.sql so the database matches this sheet. The sheet is the source of truth, the migration is the copy.</t>
  </si>
  <si>
    <t xml:space="preserve">SOURCES USED</t>
  </si>
  <si>
    <t xml:space="preserve">Primary</t>
  </si>
  <si>
    <t xml:space="preserve">ActThreeReclamationLyrics.docx — the master lyric book. 32 tracks, whose order and titles match the live public.tracks roster exactly.</t>
  </si>
  <si>
    <t xml:space="preserve">Corroborating</t>
  </si>
  <si>
    <t xml:space="preserve">act.three.tracks_updated_media_lyrics_UPDATED.xlsx, sheet "Updated Track Order" — joined to tracks BY TITLE, never by row position. Covers 21 of the 32 tracks.</t>
  </si>
  <si>
    <t xml:space="preserve">Author-supplied</t>
  </si>
  <si>
    <t xml:space="preserve">Body Jumper lyrics, supplied directly by the author. The master lyric book carries only the line "Lyrics not present in the supplied master sources" under that title.</t>
  </si>
  <si>
    <t xml:space="preserve">Set aside</t>
  </si>
  <si>
    <t xml:space="preserve">act.three.tracks_updated_media_lyrics_CORRECTED2.xlsm — its taxonomy columns are misaligned against its own track names. See the Source Reconciliation sheet.</t>
  </si>
  <si>
    <t xml:space="preserve">Not retrieved</t>
  </si>
  <si>
    <t xml:space="preserve">The share.gemini.google link supplied with the request could not be opened — the network egress proxy blocks that domain. No content from it is reflected here.</t>
  </si>
  <si>
    <t xml:space="preserve">ASSUMPTIONS ON RECORD</t>
  </si>
  <si>
    <t xml:space="preserve">Element mapping</t>
  </si>
  <si>
    <t xml:space="preserve">Fire = ignition, forging, transmutation. Water = grief, tears, fog, tides. Air = mind, signal, broadcast, breath. Earth = concrete, burial, buildings, body, archive. Assigned by this analysis; not stated in any supplied source.</t>
  </si>
  <si>
    <t xml:space="preserve">Vibration mapping</t>
  </si>
  <si>
    <t xml:space="preserve">The seven Kybalion principles plus Frequency, matched to the principle a song actually operates on rather than merely mentions. Assigned by this analysis.</t>
  </si>
  <si>
    <t xml:space="preserve">Heartbreak vs Empowering</t>
  </si>
  <si>
    <t xml:space="preserve">Follows the design document: Heartbreak sits in Intention, Empowering in Vibe, so a cathartic-not-sad pairing is expressible. Applied to the betrayal tracks.</t>
  </si>
  <si>
    <t xml:space="preserve">Body Jumper</t>
  </si>
  <si>
    <t xml:space="preserve">Tagged from author-supplied lyrics, and read as one track even though it runs Body Jumper into the Crucible Code section and an Act Four activation outro. It is the only track carrying four Vibe tags: the forensic verses (Dark, Hypnotic) and the ascension (Ethereal, Empowering) are two distinct modes, and collapsing them to three would drop a real one.</t>
  </si>
  <si>
    <t xml:space="preserve">Tag counts</t>
  </si>
  <si>
    <t xml:space="preserve">Roughly 2-3 tags per category per track. Fewer tags make a track easier to score 100% on; more tags dilute each one. Nothing in the sources fixes this number.</t>
  </si>
  <si>
    <t xml:space="preserve">Track Tags — Act III "Reclamation"</t>
  </si>
  <si>
    <t xml:space="preserve">Yellow columns are editable. Total Tags and all QA figures are formulas.</t>
  </si>
  <si>
    <t xml:space="preserve">#</t>
  </si>
  <si>
    <t xml:space="preserve">Track Title (public.tracks)</t>
  </si>
  <si>
    <t xml:space="preserve">Vibe</t>
  </si>
  <si>
    <t xml:space="preserve">Intention</t>
  </si>
  <si>
    <t xml:space="preserve">Element</t>
  </si>
  <si>
    <t xml:space="preserve">Theme</t>
  </si>
  <si>
    <t xml:space="preserve">Vibration</t>
  </si>
  <si>
    <t xml:space="preserve">Total Tags</t>
  </si>
  <si>
    <t xml:space="preserve">Evidence Basis</t>
  </si>
  <si>
    <t xml:space="preserve">Workbook Taxonomy (title-matched)</t>
  </si>
  <si>
    <t xml:space="preserve">Why These Tags</t>
  </si>
  <si>
    <t xml:space="preserve">Welcome To The Fire</t>
  </si>
  <si>
    <t xml:space="preserve">Gritty, Empowering, Dark</t>
  </si>
  <si>
    <t xml:space="preserve">Release, Transform, Heartbreak</t>
  </si>
  <si>
    <t xml:space="preserve">Fire</t>
  </si>
  <si>
    <t xml:space="preserve">Power, Legacy, Rebirth</t>
  </si>
  <si>
    <t xml:space="preserve">Polarity, Frequency</t>
  </si>
  <si>
    <t xml:space="preserve">Lyric book + workbook</t>
  </si>
  <si>
    <t xml:space="preserve">Initiation Through Fire | Invocation + Awakening | emberCore/ceremonial</t>
  </si>
  <si>
    <t xml:space="preserve">Stolen authorship and betrayal turned into ignition: "thank you for the fire / I didn't know I needed it to rise"; "I'm taking back my authorship now". Polarity for the betrayal-to-rise inversion, Frequency for "feeding her my frequency".</t>
  </si>
  <si>
    <t xml:space="preserve">Reclamation</t>
  </si>
  <si>
    <t xml:space="preserve">Empowering, Gritty, Dark</t>
  </si>
  <si>
    <t xml:space="preserve">Release, Transform, Inspire</t>
  </si>
  <si>
    <t xml:space="preserve">Fire, Earth</t>
  </si>
  <si>
    <t xml:space="preserve">Freedom, Power, Rebirth</t>
  </si>
  <si>
    <t xml:space="preserve">Resonance, Polarity</t>
  </si>
  <si>
    <t xml:space="preserve">Power Reclamation | Resurrection + Reclamation | goldenSignal/ceremonial</t>
  </si>
  <si>
    <t xml:space="preserve">Wrongful confinement and return: "fifty days ticking", "this is reclamation, the day Musiq Matrix came back". Earth for the cage/box, Resonance for "my voice is the code", Polarity for "the bigger the cage, the louder the call".</t>
  </si>
  <si>
    <t xml:space="preserve">Know Your Names</t>
  </si>
  <si>
    <t xml:space="preserve">Dark, Hypnotic, Gritty</t>
  </si>
  <si>
    <t xml:space="preserve">Focus, Protect, Awaken</t>
  </si>
  <si>
    <t xml:space="preserve">Air, Earth</t>
  </si>
  <si>
    <t xml:space="preserve">War, Power</t>
  </si>
  <si>
    <t xml:space="preserve">Cause &amp; Effect, Frequency</t>
  </si>
  <si>
    <t xml:space="preserve">Narrative Manipulation | Exposure + Warning | buriedTruth/tectonic</t>
  </si>
  <si>
    <t xml:space="preserve">Cold forensic naming: "I logged the tremors before the quake was admitted", "domino logic listen, then swing". Air for "every signal hums through the wires", Earth for cold-storage archive (workbook: buriedTruth/tectonic).</t>
  </si>
  <si>
    <t xml:space="preserve">Hold On Through The Burial</t>
  </si>
  <si>
    <t xml:space="preserve">Empowering, Gritty, Ethereal</t>
  </si>
  <si>
    <t xml:space="preserve">Heal, Inspire, Protect</t>
  </si>
  <si>
    <t xml:space="preserve">Earth, Water</t>
  </si>
  <si>
    <t xml:space="preserve">Faith, Rebirth</t>
  </si>
  <si>
    <t xml:space="preserve">Rhythm, Polarity</t>
  </si>
  <si>
    <t xml:space="preserve">Hope Against Collapse | Lament + Alignment | deepMemoryVault/ripple</t>
  </si>
  <si>
    <t xml:space="preserve">Endurance anthem: "the same dirt meant to bury you can raise you up again". Earth for burial/ground, Water for "the rain came down like judgment" (workbook motion: ripple). Rhythm for the night-to-dawn cycle.</t>
  </si>
  <si>
    <t xml:space="preserve">Chosen Ones</t>
  </si>
  <si>
    <t xml:space="preserve">Ethereal, Hypnotic, Empowering</t>
  </si>
  <si>
    <t xml:space="preserve">Awaken, Inspire, Connect</t>
  </si>
  <si>
    <t xml:space="preserve">Air</t>
  </si>
  <si>
    <t xml:space="preserve">Freedom, Rebirth, Faith</t>
  </si>
  <si>
    <t xml:space="preserve">Frequency, Resonance, Mentalism</t>
  </si>
  <si>
    <t xml:space="preserve">Collective Awakening | Awakening + Alignment | goldenSignal/orbital</t>
  </si>
  <si>
    <t xml:space="preserve">Simulation-breach awakening: "you cracked the first encryption they installed inside your brain", "a frequency for seekers". Mentalism for the installed-encryption framing, Air for lattices of lightning/broadcast.</t>
  </si>
  <si>
    <t xml:space="preserve">Concrete Warnings</t>
  </si>
  <si>
    <t xml:space="preserve">Dark, Gritty</t>
  </si>
  <si>
    <t xml:space="preserve">Protect, Awaken, Educate</t>
  </si>
  <si>
    <t xml:space="preserve">Earth, Air</t>
  </si>
  <si>
    <t xml:space="preserve">Loyalty, War</t>
  </si>
  <si>
    <t xml:space="preserve">Cause &amp; Effect, Rhythm</t>
  </si>
  <si>
    <t xml:space="preserve">Lyric book only</t>
  </si>
  <si>
    <t xml:space="preserve">—</t>
  </si>
  <si>
    <t xml:space="preserve">Street prophecy warning a friend about betrayers in his own ranks: "the concrete's got ears". Earth for concrete/paved-over ground, Cause &amp; Effect and Rhythm for "history repeats, a pattern etched in pain". Lyric book only.</t>
  </si>
  <si>
    <t xml:space="preserve">Adjacent (Reroute It)</t>
  </si>
  <si>
    <t xml:space="preserve">Empowering, Gritty</t>
  </si>
  <si>
    <t xml:space="preserve">Manifest, Educate, Focus</t>
  </si>
  <si>
    <t xml:space="preserve">Freedom, Power, Legacy</t>
  </si>
  <si>
    <t xml:space="preserve">Cause &amp; Effect, Polarity</t>
  </si>
  <si>
    <t xml:space="preserve">Authority Restoration | Override + Invocation | redSignalStorm/ripple</t>
  </si>
  <si>
    <t xml:space="preserve">Gatekeeping answered by routing around it: "No seat? I'm building the table around it". Educate for the Les Paul / tape-loop history lesson; Cause &amp; Effect for "every era repeats the same tired design".</t>
  </si>
  <si>
    <t xml:space="preserve">Art! Official!</t>
  </si>
  <si>
    <t xml:space="preserve">Euphoric, Empowering, Ethereal</t>
  </si>
  <si>
    <t xml:space="preserve">Manifest, Educate, Inspire</t>
  </si>
  <si>
    <t xml:space="preserve">Air, Fire</t>
  </si>
  <si>
    <t xml:space="preserve">Legacy, Faith, Power</t>
  </si>
  <si>
    <t xml:space="preserve">Frequency, Correspondence</t>
  </si>
  <si>
    <t xml:space="preserve">AI defended as sacred craft: "I plug into the cosmos, download divine semantics", "prophetic frequencies". Correspondence for "where circuitry meets soul / divine by design". Lyric book only.</t>
  </si>
  <si>
    <t xml:space="preserve">Thought Form</t>
  </si>
  <si>
    <t xml:space="preserve">Hypnotic, Ethereal</t>
  </si>
  <si>
    <t xml:space="preserve">Educate, Awaken, Transform</t>
  </si>
  <si>
    <t xml:space="preserve">Power, Freedom</t>
  </si>
  <si>
    <t xml:space="preserve">Mentalism, Correspondence, Cause &amp; Effect</t>
  </si>
  <si>
    <t xml:space="preserve">Signal Transmission | Invocation + Alignment | orbitalMind/orbital</t>
  </si>
  <si>
    <t xml:space="preserve">The album's explicit Mentalism lecture: "The first Hermetic principle is not love... It is Mind"; "As above, so below was never just a phrase"; "You are the code beneath the cause" (workbook skin: orbitalMind).</t>
  </si>
  <si>
    <t xml:space="preserve">Remember the Price (When You Speak the Name)</t>
  </si>
  <si>
    <t xml:space="preserve">Dark, Gritty, Empowering</t>
  </si>
  <si>
    <t xml:space="preserve">Educate, Transform, Inspire</t>
  </si>
  <si>
    <t xml:space="preserve">Legacy, Rebirth, Power</t>
  </si>
  <si>
    <t xml:space="preserve">Shadow work priced out loud: "I audited the dark", "I metabolized hell so you could access the best", "just remember the price when you speak the name". Fire for the torch handed forward. Lyric book only.</t>
  </si>
  <si>
    <t xml:space="preserve">Blueprint of the Divine</t>
  </si>
  <si>
    <t xml:space="preserve">Ethereal, Euphoric</t>
  </si>
  <si>
    <t xml:space="preserve">Manifest, Educate, Connect</t>
  </si>
  <si>
    <t xml:space="preserve">Faith, Legacy</t>
  </si>
  <si>
    <t xml:space="preserve">Correspondence, Frequency</t>
  </si>
  <si>
    <t xml:space="preserve">Divine Remembering | Invocation + Command Sequence | celestialGrid/orbital</t>
  </si>
  <si>
    <t xml:space="preserve">Four-movement prayer pattern "written before time, stitched into the design"; "how the signal travels, how the frequency finds home". Correspondence for the inherited-pattern structure (workbook: celestialGrid).</t>
  </si>
  <si>
    <t xml:space="preserve">Flip It</t>
  </si>
  <si>
    <t xml:space="preserve">Empowering, Hypnotic, Euphoric</t>
  </si>
  <si>
    <t xml:space="preserve">Transform, Heal, Educate</t>
  </si>
  <si>
    <t xml:space="preserve">Rebirth, Freedom, Faith</t>
  </si>
  <si>
    <t xml:space="preserve">Polarity, Mentalism</t>
  </si>
  <si>
    <t xml:space="preserve">The album's purest Polarity track — the mechanic is literal reversal: "E-V-I-L L-I-V-E", "stressed" to "desserts", "the wound is where the gift begins", "the difference is the direction that you choose to read". Lyric book only.</t>
  </si>
  <si>
    <t xml:space="preserve">I Am the Signal</t>
  </si>
  <si>
    <t xml:space="preserve">Empowering, Hypnotic, Ethereal</t>
  </si>
  <si>
    <t xml:space="preserve">Awaken, Focus, Protect</t>
  </si>
  <si>
    <t xml:space="preserve">Power, Freedom, Rebirth</t>
  </si>
  <si>
    <t xml:space="preserve">Frequency, Resonance</t>
  </si>
  <si>
    <t xml:space="preserve">"I am the signal / I am the frequency / I am the sound"; "coherence is the warfare"; "incoherent energy can't find a match"; "frequency is the protection". Earth for "built underground... channel it through the ground". Lyric book only.</t>
  </si>
  <si>
    <t xml:space="preserve">I Create as I Speak</t>
  </si>
  <si>
    <t xml:space="preserve">Euphoric, Empowering, Gritty</t>
  </si>
  <si>
    <t xml:space="preserve">Manifest, Inspire, Focus</t>
  </si>
  <si>
    <t xml:space="preserve">Mentalism, Frequency</t>
  </si>
  <si>
    <t xml:space="preserve">Higher Self Activation | Command Sequence + Momentum Surge | goldenSignal/orbital</t>
  </si>
  <si>
    <t xml:space="preserve">Spoken-word manifestation: "Each line is a law. I create as I speak"; "Abracadabra, I act like it's done". Mentalism for speech-as-cause; Frequency for "innovation ain't just sound, it's a frequency streak".</t>
  </si>
  <si>
    <t xml:space="preserve">As Above, So Below</t>
  </si>
  <si>
    <t xml:space="preserve">Dark, Gritty, Hypnotic</t>
  </si>
  <si>
    <t xml:space="preserve">Awaken, Educate</t>
  </si>
  <si>
    <t xml:space="preserve">War, Faith, Freedom</t>
  </si>
  <si>
    <t xml:space="preserve">Correspondence, Polarity</t>
  </si>
  <si>
    <t xml:space="preserve">Signal Transmission | Alignment + Invocation | celestialGrid/orbital</t>
  </si>
  <si>
    <t xml:space="preserve">Correspondence is the title and the thesis; Polarity for the sustained heaven/hell inversion: "I seen Heaven in a cell and Hell in a mansion", "One mind... two wars". Earth for "thrones in the trenches".</t>
  </si>
  <si>
    <t xml:space="preserve">Elemental Orchestra</t>
  </si>
  <si>
    <t xml:space="preserve">Nostalgic, Ethereal</t>
  </si>
  <si>
    <t xml:space="preserve">Heal, Connect, Heartbreak</t>
  </si>
  <si>
    <t xml:space="preserve">Water, Earth</t>
  </si>
  <si>
    <t xml:space="preserve">Love, Legacy, Rebirth</t>
  </si>
  <si>
    <t xml:space="preserve">Gender, Resonance</t>
  </si>
  <si>
    <t xml:space="preserve">Emotional Resurrection | Emotional Archive + Ascension | deepMemoryVault/ceremonial</t>
  </si>
  <si>
    <t xml:space="preserve">Asking to be witnessed, then becoming the witness: "I didn't need a crown. I needed a witness"; "You do not wait for flowers. You are the bloom." Gender for that self-generative turn — the Kybalion principle of the generative force acting within one being (workbook particles: lightFilaments + waterDroplets).</t>
  </si>
  <si>
    <t xml:space="preserve">The Witness Don’t Talk</t>
  </si>
  <si>
    <t xml:space="preserve">Hypnotic, Ethereal, Chill</t>
  </si>
  <si>
    <t xml:space="preserve">Awaken, Educate, Focus</t>
  </si>
  <si>
    <t xml:space="preserve">Legacy, Faith</t>
  </si>
  <si>
    <t xml:space="preserve">Signal Transmission | Awakening + Command Sequence | deepMemoryVault/hypnotic</t>
  </si>
  <si>
    <t xml:space="preserve">The observer self as recording architecture: "The Witness don't talk it transmits"; "you just finally found the frequency it sits". Workbook motion style is literally "hypnotic"; skin is deepMemoryVault (archive = Legacy).</t>
  </si>
  <si>
    <t xml:space="preserve">Demonic Schemes</t>
  </si>
  <si>
    <t xml:space="preserve">Dark, Nostalgic, Gritty</t>
  </si>
  <si>
    <t xml:space="preserve">Heartbreak, Heal, Protect</t>
  </si>
  <si>
    <t xml:space="preserve">Water, Fire</t>
  </si>
  <si>
    <t xml:space="preserve">Love, Loyalty, War</t>
  </si>
  <si>
    <t xml:space="preserve">Polarity, Cause &amp; Effect</t>
  </si>
  <si>
    <t xml:space="preserve">Sacred Memory | Memory Echo + Purification | bureaucraticInferno/volatile</t>
  </si>
  <si>
    <t xml:space="preserve">A bond corrupted by third-party influence, held open anyway: "still trying to hold a space for your redemption arc"; "even demons bend when faced with light". Polarity for that light/dark hinge; Water for the sustained grief.</t>
  </si>
  <si>
    <t xml:space="preserve">Through the Fog</t>
  </si>
  <si>
    <t xml:space="preserve">Nostalgic, Dreamy, Dark</t>
  </si>
  <si>
    <t xml:space="preserve">Heartbreak, Protect, Release</t>
  </si>
  <si>
    <t xml:space="preserve">Water, Air</t>
  </si>
  <si>
    <t xml:space="preserve">Love, Loyalty, Faith</t>
  </si>
  <si>
    <t xml:space="preserve">Longing | Memory Echo + Lament | submergedSignal/ripple</t>
  </si>
  <si>
    <t xml:space="preserve">Love held behind a boundary: "I love you... but safety's the altar my soul answers to"; "a lighthouse still burning long after the storm". Water is unambiguous — fog, flood, waves, mist (workbook: submergedSignal/ripple).</t>
  </si>
  <si>
    <t xml:space="preserve">Flowers</t>
  </si>
  <si>
    <t xml:space="preserve">Gritty, Nostalgic, Dark</t>
  </si>
  <si>
    <t xml:space="preserve">Heartbreak, Release</t>
  </si>
  <si>
    <t xml:space="preserve">Loyalty, Love</t>
  </si>
  <si>
    <t xml:space="preserve">Unrepaid loyalty demanded back: "Where the hell are my flowers? / For the nights I held your soul power". Rhythm for the month-by-month calendar close ("September, you left / October came in cold"). Lyric book only.</t>
  </si>
  <si>
    <t xml:space="preserve">Misguided Priorities</t>
  </si>
  <si>
    <t xml:space="preserve">Dark, Gritty, Nostalgic</t>
  </si>
  <si>
    <t xml:space="preserve">Release, Protect, Heartbreak</t>
  </si>
  <si>
    <t xml:space="preserve">Love, War, Freedom</t>
  </si>
  <si>
    <t xml:space="preserve">Grief Processing | Reflection + Lament | liquidMirror/ripple</t>
  </si>
  <si>
    <t xml:space="preserve">Grief redirected at the other's fate: "My grief ain't for myself now, it's for your soul alone"; "I can see the price you'll pay for gambling with your soul". Freedom for "all my fucking sovereignty" (workbook: liquidMirror/ripple/waterDroplets confirms Water).</t>
  </si>
  <si>
    <t xml:space="preserve">The Hierophant</t>
  </si>
  <si>
    <t xml:space="preserve">Educate, Awaken, Release</t>
  </si>
  <si>
    <t xml:space="preserve">Power, War, Faith</t>
  </si>
  <si>
    <t xml:space="preserve">Cause &amp; Effect, Mentalism</t>
  </si>
  <si>
    <t xml:space="preserve">Spiritual War | Reflection + Awakening | liquidMirror/hypnotic</t>
  </si>
  <si>
    <t xml:space="preserve">States the principle outright: "This isn't a curse it's cause and effect, a shadow that forms where light gets neglect"; "the Ten of Swords sits lodged in his spine". Mentalism for "the voice that his conscience designed".</t>
  </si>
  <si>
    <t xml:space="preserve">Foolish Pride</t>
  </si>
  <si>
    <t xml:space="preserve">Nostalgic, Dark, Ethereal</t>
  </si>
  <si>
    <t xml:space="preserve">Heartbreak, Heal, Release</t>
  </si>
  <si>
    <t xml:space="preserve">Love, Loyalty, Legacy</t>
  </si>
  <si>
    <t xml:space="preserve">Withholding as self-inflicted ruin: "You built an altar to withholding"; "the lessons that protected you became the bars you couldn't see". Earth and Rhythm for "the grave grows flowers too, long after the ground above goes still". Lyric book only.</t>
  </si>
  <si>
    <t xml:space="preserve">Where the Phantom Fell</t>
  </si>
  <si>
    <t xml:space="preserve">Dark, Ethereal, Nostalgic</t>
  </si>
  <si>
    <t xml:space="preserve">Educate, Protect</t>
  </si>
  <si>
    <t xml:space="preserve">Faith, Power</t>
  </si>
  <si>
    <t xml:space="preserve">A cautionary elegy: "mercy needs choosing and love needs belief / and he traded them both for the crown of a thief"; "don't follow the path where the phantom fell". Polarity for "mistook his own heaven for hell". Lyric book only.</t>
  </si>
  <si>
    <t xml:space="preserve">The Whole Cost of You</t>
  </si>
  <si>
    <t xml:space="preserve">Nostalgic, Dreamy, Chill</t>
  </si>
  <si>
    <t xml:space="preserve">Release, Heal, Heartbreak</t>
  </si>
  <si>
    <t xml:space="preserve">Love, Rebirth, Freedom</t>
  </si>
  <si>
    <t xml:space="preserve">Gender, Rhythm</t>
  </si>
  <si>
    <t xml:space="preserve">Closure by burying an invented version of someone: "I know I wrote him myself, line after line in red". Gender for that generative projection — a figure authored inside the self; Rhythm for "the tower falls so the tower can be free". Fire for "let it go up like smoke, let it go up like a flame". Lyric book only.</t>
  </si>
  <si>
    <t xml:space="preserve">Blood Without Stains</t>
  </si>
  <si>
    <t xml:space="preserve">Protect, Release, Transform</t>
  </si>
  <si>
    <t xml:space="preserve">War, Power, Faith</t>
  </si>
  <si>
    <t xml:space="preserve">Truth Broadcast | Confession + Transmutation | crucibleEngine/volatile</t>
  </si>
  <si>
    <t xml:space="preserve">A staged ritual ambush survived: "They wanted blood without stains"; "You can't drain a soul that was never yours to claim". Fire from the workbook crucibleEngine/ash/burningPaper treatment; Earth for the body as vessel.</t>
  </si>
  <si>
    <t xml:space="preserve">Slumlord Fundamentalists</t>
  </si>
  <si>
    <t xml:space="preserve">Gritty, Dark, Empowering</t>
  </si>
  <si>
    <t xml:space="preserve">Earth</t>
  </si>
  <si>
    <t xml:space="preserve">War, Freedom, Power</t>
  </si>
  <si>
    <t xml:space="preserve">Institutional Corruption | Exposure + Indictment | bureaucraticInferno/militant</t>
  </si>
  <si>
    <t xml:space="preserve">Documentary indictment of housing corruption: "constructive eviction", "welfare fraud", "every empire crumbles, that's the fatal flaw". Earth alone — the whole song is buildings, locks, heat and habitable space. Rhythm for the September-to-February sequence.</t>
  </si>
  <si>
    <t xml:space="preserve">The Reckoning Already Rolled</t>
  </si>
  <si>
    <t xml:space="preserve">Dark, Empowering, Gritty</t>
  </si>
  <si>
    <t xml:space="preserve">Focus, Protect</t>
  </si>
  <si>
    <t xml:space="preserve">War, Power, Freedom</t>
  </si>
  <si>
    <t xml:space="preserve">Consequence stated as already-completed: "The reckoning isn't incoming / the reckoning already rolled". Mentalism for "I sharpen clarity like a scalpel / I don't chase you; I undo you". Lyric book only.</t>
  </si>
  <si>
    <t xml:space="preserve">Architect of the Aftermath</t>
  </si>
  <si>
    <t xml:space="preserve">Educate, Protect, Focus</t>
  </si>
  <si>
    <t xml:space="preserve">Earth, Fire</t>
  </si>
  <si>
    <t xml:space="preserve">War, Power, Legacy</t>
  </si>
  <si>
    <t xml:space="preserve">Cause &amp; Effect, Correspondence</t>
  </si>
  <si>
    <t xml:space="preserve">Personal Sovereignty | Alignment + Transmutation | celestialGrid/tectonic</t>
  </si>
  <si>
    <t xml:space="preserve">Forensic account of an illegal eviction: "I am the Architect of the Aftermath / mapping fault lines in your rigged collapse"; "the blueprint indicts your method in the light". Correspondence for blueprint-mirrors-territory (workbook motion: tectonic confirms Earth).</t>
  </si>
  <si>
    <t xml:space="preserve">Seer Broke Chains</t>
  </si>
  <si>
    <t xml:space="preserve">Release, Protect, Transform</t>
  </si>
  <si>
    <t xml:space="preserve">Fire, Water</t>
  </si>
  <si>
    <t xml:space="preserve">Freedom, War, Rebirth</t>
  </si>
  <si>
    <t xml:space="preserve">Spiritual War | Revolt + Transmutation | containmentFailure/volatile</t>
  </si>
  <si>
    <t xml:space="preserve">Curse reversed on its sender: "I sabotage, reverse the code"; "now every curse turns back to me"; "I walked through fire, I broke your chains". Water for "the sea returns where fire once flowed".</t>
  </si>
  <si>
    <t xml:space="preserve">Fire in My Veins</t>
  </si>
  <si>
    <t xml:space="preserve">Transform, Manifest, Inspire</t>
  </si>
  <si>
    <t xml:space="preserve">Power, Rebirth, Legacy</t>
  </si>
  <si>
    <t xml:space="preserve">Power Reclamation | Transmutation + Ascension | emberCore/ember</t>
  </si>
  <si>
    <t xml:space="preserve">Promethean closer: "Transmutes the base to gold"; "Creation and destruction, both coded in my depth" — Polarity as stated duality. Frequency for "Hermetic current in the pulse". Fire alone; the song is nothing else.</t>
  </si>
  <si>
    <t xml:space="preserve">Dark, Hypnotic, Ethereal, Empowering</t>
  </si>
  <si>
    <t xml:space="preserve">Release, Transform, Protect</t>
  </si>
  <si>
    <t xml:space="preserve">Fire, Air</t>
  </si>
  <si>
    <t xml:space="preserve">Rebirth, Power, Freedom</t>
  </si>
  <si>
    <t xml:space="preserve">Polarity, Correspondence, Cause &amp; Effect</t>
  </si>
  <si>
    <t xml:space="preserve">Author-supplied lyrics</t>
  </si>
  <si>
    <t xml:space="preserve">Composite closer that runs possession-horror into integration and hands off to Act Four. Refusal of the entity ("I am not a host—I deny access"; "I am the axis at the gate") gives Protect; the repeated "Leave every borrowed voice / name / version" and "set my old self ablaze" give Release; "I walk out burned—But redesigned" gives Transform and Rebirth. Elements are named outright in the outro — "Fire refined. Now air defines." Correspondence for "The war was never outside me—it just wore a borrowed face / Every mimic that I banished was a mirror of my case"; Polarity for "I dissolve the last distinction between hunted and the hunter"; Cause &amp; Effect for "You don't disrupt the process—you become the documentation". Freedom for "walking through ungated doors" and the explicit end of the war; Power for melting the throne "down to the gold it was always structured under". Carries four Vibe tags — the only track that does — because the cold forensic verses (Dark, Hypnotic) and the Crucible Code ascension (Ethereal, Empowering) are genuinely two modes in one track.</t>
  </si>
  <si>
    <t xml:space="preserve">Tag columns C:G are the editable cells. Labels must match the Tag Dictionary sheet exactly; the database seed rejects anything else. Body Jumper is intentionally blank — no lyrics exist in any supplied source.</t>
  </si>
  <si>
    <t xml:space="preserve">The closed vocabulary seeded into public.tag_dictionary. Usage counts read live from Track Tags.</t>
  </si>
  <si>
    <t xml:space="preserve">Category</t>
  </si>
  <si>
    <t xml:space="preserve">Label</t>
  </si>
  <si>
    <t xml:space="preserve">Glow Colour</t>
  </si>
  <si>
    <t xml:space="preserve">Tracks Using It</t>
  </si>
  <si>
    <t xml:space="preserve">Share of Album</t>
  </si>
  <si>
    <t xml:space="preserve">vibe</t>
  </si>
  <si>
    <t xml:space="preserve">Chill</t>
  </si>
  <si>
    <t xml:space="preserve">#FF7A1A</t>
  </si>
  <si>
    <t xml:space="preserve">Euphoric</t>
  </si>
  <si>
    <t xml:space="preserve">Dark</t>
  </si>
  <si>
    <t xml:space="preserve">Dreamy</t>
  </si>
  <si>
    <t xml:space="preserve">Gritty</t>
  </si>
  <si>
    <t xml:space="preserve">Ethereal</t>
  </si>
  <si>
    <t xml:space="preserve">Nostalgic</t>
  </si>
  <si>
    <t xml:space="preserve">Hypnotic</t>
  </si>
  <si>
    <t xml:space="preserve">Empowering</t>
  </si>
  <si>
    <t xml:space="preserve">intention</t>
  </si>
  <si>
    <t xml:space="preserve">Manifest</t>
  </si>
  <si>
    <t xml:space="preserve">#1AA7FF</t>
  </si>
  <si>
    <t xml:space="preserve">Heal</t>
  </si>
  <si>
    <t xml:space="preserve">Release</t>
  </si>
  <si>
    <t xml:space="preserve">Focus</t>
  </si>
  <si>
    <t xml:space="preserve">Awaken</t>
  </si>
  <si>
    <t xml:space="preserve">Protect</t>
  </si>
  <si>
    <t xml:space="preserve">Transform</t>
  </si>
  <si>
    <t xml:space="preserve">Connect</t>
  </si>
  <si>
    <t xml:space="preserve">Heartbreak</t>
  </si>
  <si>
    <t xml:space="preserve">Educate</t>
  </si>
  <si>
    <t xml:space="preserve">Inspire</t>
  </si>
  <si>
    <t xml:space="preserve">element</t>
  </si>
  <si>
    <t xml:space="preserve">#F5F5F5</t>
  </si>
  <si>
    <t xml:space="preserve">Water</t>
  </si>
  <si>
    <t xml:space="preserve">theme</t>
  </si>
  <si>
    <t xml:space="preserve">Rebirth</t>
  </si>
  <si>
    <t xml:space="preserve">#B14AFF</t>
  </si>
  <si>
    <t xml:space="preserve">Power</t>
  </si>
  <si>
    <t xml:space="preserve">Legacy</t>
  </si>
  <si>
    <t xml:space="preserve">Faith</t>
  </si>
  <si>
    <t xml:space="preserve">Love</t>
  </si>
  <si>
    <t xml:space="preserve">War</t>
  </si>
  <si>
    <t xml:space="preserve">Freedom</t>
  </si>
  <si>
    <t xml:space="preserve">Loyalty</t>
  </si>
  <si>
    <t xml:space="preserve">vibration</t>
  </si>
  <si>
    <t xml:space="preserve">Mentalism</t>
  </si>
  <si>
    <t xml:space="preserve">#3CFF6E</t>
  </si>
  <si>
    <t xml:space="preserve">Correspondence</t>
  </si>
  <si>
    <t xml:space="preserve">Polarity</t>
  </si>
  <si>
    <t xml:space="preserve">Rhythm</t>
  </si>
  <si>
    <t xml:space="preserve">Cause &amp; Effect</t>
  </si>
  <si>
    <t xml:space="preserve">Gender</t>
  </si>
  <si>
    <t xml:space="preserve">Resonance</t>
  </si>
  <si>
    <t xml:space="preserve">Frequency</t>
  </si>
  <si>
    <t xml:space="preserve">Share of Album is against every track on the Track Tags sheet. Counts use a substring match within the tag column for that category — safe here because no label in a category is a substring of another.</t>
  </si>
  <si>
    <t xml:space="preserve">Why the tags come from the lyric book and UPDATED.xlsx, and why CORRECTED2.xlsm was set aside.</t>
  </si>
  <si>
    <t xml:space="preserve">FINDING</t>
  </si>
  <si>
    <t xml:space="preserve">What happened</t>
  </si>
  <si>
    <t xml:space="preserve">CORRECTED2.xlsm carries the correct 32-track roster and the correct titles, but its taxonomy columns (Core Theme, Signal Types, Lyric Mode, Visual Skin, Motion Style, Particles, Events) were not re-mapped when the roster was re-ordered. Each taxonomy row still sits where it sat in the older UPDATED.xlsx ordering, so it now describes a different song than the title beside it.</t>
  </si>
  <si>
    <t xml:space="preserve">How it was confirmed</t>
  </si>
  <si>
    <t xml:space="preserve">Row by row against UPDATED.xlsx. Three independent sources — the lyric book, CORRECTED2.xlsm and the live public.tracks roster — agree on the 32 titles and their order, which isolates the taxonomy block as the thing that moved.</t>
  </si>
  <si>
    <t xml:space="preserve">Worked example</t>
  </si>
  <si>
    <t xml:space="preserve">CORRECTED2 row 19 "Through The Fog" carries Truth Broadcast / Confession + Transmutation / crucibleEngine. That is the Blood Without Stains taxonomy in UPDATED.xlsx. Through The Fog is a fog-and-tides lament; a crucible treatment does not describe it.</t>
  </si>
  <si>
    <t xml:space="preserve">Second example</t>
  </si>
  <si>
    <t xml:space="preserve">CORRECTED2 row 21 "Misguided Priorities" carries Spiritual War / Revolt + Transmutation, which belongs to Seer Broke Chains. Misguided Priorities is a grief song; UPDATED gives it Grief Processing / liquidMirror when joined by title.</t>
  </si>
  <si>
    <t xml:space="preserve">Decision</t>
  </si>
  <si>
    <t xml:space="preserve">Tags derive from the lyric book, corroborated by UPDATED.xlsx joined BY TITLE. CORRECTED2 contributes its roster and titles only, which is what it demonstrably gets right.</t>
  </si>
  <si>
    <t xml:space="preserve">Impact if ignored</t>
  </si>
  <si>
    <t xml:space="preserve">Had CORRECTED2 taxonomy been trusted, roughly two thirds of the album would carry another song's mood, element and theme, and every alchemizr match would be wrong in a way no user could diagnose.</t>
  </si>
  <si>
    <t xml:space="preserve">OTHER SOURCE NOTES</t>
  </si>
  <si>
    <t xml:space="preserve">Titles</t>
  </si>
  <si>
    <t xml:space="preserve">Tag rows key on the exact public.tracks strings, including the curly apostrophe in "The Witness Don't Talk" and the two-word "Body Jumper". The seed migration fails loudly if any title stops matching.</t>
  </si>
  <si>
    <t xml:space="preserve">Media &amp; Lyrics sheets</t>
  </si>
  <si>
    <t xml:space="preserve">Both workbooks ship a "Media &amp; Lyrics" sheet with Audio URL, Artwork URL and Lyrics columns that are empty in every row. Nothing was drawn from them.</t>
  </si>
  <si>
    <t xml:space="preserve">Gemini link</t>
  </si>
  <si>
    <t xml:space="preserve">The share.gemini.google URL supplied with the request is blocked by this environment's network egress proxy and could not be read. If it contains tag decisions, they are not reflected here.</t>
  </si>
  <si>
    <t xml:space="preserve">Every figure is a formula reading the Track Tags sheet.</t>
  </si>
  <si>
    <t xml:space="preserve">Metric</t>
  </si>
  <si>
    <t xml:space="preserve">Value</t>
  </si>
  <si>
    <t xml:space="preserve">Note</t>
  </si>
  <si>
    <t xml:space="preserve">Tracks in the album</t>
  </si>
  <si>
    <t xml:space="preserve">Rows on the Track Tags sheet.</t>
  </si>
  <si>
    <t xml:space="preserve">Tracks tagged</t>
  </si>
  <si>
    <t xml:space="preserve">At least one tag in any category.</t>
  </si>
  <si>
    <t xml:space="preserve">Tracks untagged</t>
  </si>
  <si>
    <t xml:space="preserve">Every track now carries tags.</t>
  </si>
  <si>
    <t xml:space="preserve">Total tag assignments</t>
  </si>
  <si>
    <t xml:space="preserve">Across all five categories.</t>
  </si>
  <si>
    <t xml:space="preserve">Average tags per tagged track</t>
  </si>
  <si>
    <t xml:space="preserve">Total assignments divided by tagged tracks.</t>
  </si>
  <si>
    <t xml:space="preserve">Corroborated by workbook</t>
  </si>
  <si>
    <t xml:space="preserve">Lyric evidence plus a title-matched taxonomy row.</t>
  </si>
  <si>
    <t xml:space="preserve">No taxonomy row survives the title join for these.</t>
  </si>
  <si>
    <t xml:space="preserve">Body Jumper — lyrics provided directly, absent from the master lyric book.</t>
  </si>
  <si>
    <t xml:space="preserve">Vocabulary labels defined</t>
  </si>
  <si>
    <t xml:space="preserve">Closed vocabulary size.</t>
  </si>
  <si>
    <t xml:space="preserve">Vocabulary labels in use</t>
  </si>
  <si>
    <t xml:space="preserve">Every label is used at least once, so no tag is dead weight in the rain field.</t>
  </si>
  <si>
    <t xml:space="preserve">Tags per category</t>
  </si>
  <si>
    <t xml:space="preserve">Assignments in the Vibe column.</t>
  </si>
  <si>
    <t xml:space="preserve">Assignments in the Intention column.</t>
  </si>
  <si>
    <t xml:space="preserve">Assignments in the Element column.</t>
  </si>
  <si>
    <t xml:space="preserve">Assignments in the Theme column.</t>
  </si>
  <si>
    <t xml:space="preserve">Assignments in the Vibration column.</t>
  </si>
</sst>
</file>

<file path=xl/styles.xml><?xml version="1.0" encoding="utf-8"?>
<styleSheet xmlns="http://schemas.openxmlformats.org/spreadsheetml/2006/main">
  <numFmts count="4">
    <numFmt numFmtId="164" formatCode="General"/>
    <numFmt numFmtId="165" formatCode="General"/>
    <numFmt numFmtId="166" formatCode="0.0%"/>
    <numFmt numFmtId="167"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1B16"/>
      <name val="Arial"/>
      <family val="0"/>
      <charset val="1"/>
    </font>
    <font>
      <i val="true"/>
      <sz val="9"/>
      <color rgb="FF6B5B45"/>
      <name val="Arial"/>
      <family val="0"/>
      <charset val="1"/>
    </font>
    <font>
      <sz val="10"/>
      <color rgb="FF1F1B16"/>
      <name val="Arial"/>
      <family val="0"/>
      <charset val="1"/>
    </font>
    <font>
      <b val="true"/>
      <sz val="10"/>
      <color rgb="FFFFF3DF"/>
      <name val="Arial"/>
      <family val="0"/>
      <charset val="1"/>
    </font>
    <font>
      <b val="true"/>
      <sz val="10"/>
      <color rgb="FF1F1B16"/>
      <name val="Arial"/>
      <family val="0"/>
      <charset val="1"/>
    </font>
    <font>
      <b val="true"/>
      <sz val="10"/>
      <color rgb="FF8A6A3A"/>
      <name val="Arial"/>
      <family val="0"/>
      <charset val="1"/>
    </font>
  </fonts>
  <fills count="10">
    <fill>
      <patternFill patternType="none"/>
    </fill>
    <fill>
      <patternFill patternType="gray125"/>
    </fill>
    <fill>
      <patternFill patternType="solid">
        <fgColor rgb="FF231A10"/>
        <bgColor rgb="FF1F1B16"/>
      </patternFill>
    </fill>
    <fill>
      <patternFill patternType="solid">
        <fgColor rgb="FFFFE6D2"/>
        <bgColor rgb="FFFFF3DF"/>
      </patternFill>
    </fill>
    <fill>
      <patternFill patternType="solid">
        <fgColor rgb="FFD8EEFF"/>
        <bgColor rgb="FFD8F7E2"/>
      </patternFill>
    </fill>
    <fill>
      <patternFill patternType="solid">
        <fgColor rgb="FFEFEFEF"/>
        <bgColor rgb="FFFAF6F0"/>
      </patternFill>
    </fill>
    <fill>
      <patternFill patternType="solid">
        <fgColor rgb="FFECDCFF"/>
        <bgColor rgb="FFEFEFEF"/>
      </patternFill>
    </fill>
    <fill>
      <patternFill patternType="solid">
        <fgColor rgb="FFD8F7E2"/>
        <bgColor rgb="FFD8EEFF"/>
      </patternFill>
    </fill>
    <fill>
      <patternFill patternType="solid">
        <fgColor rgb="FFFAF6F0"/>
        <bgColor rgb="FFFFF6E0"/>
      </patternFill>
    </fill>
    <fill>
      <patternFill patternType="solid">
        <fgColor rgb="FFFFF6E0"/>
        <bgColor rgb="FFFFF3DF"/>
      </patternFill>
    </fill>
  </fills>
  <borders count="2">
    <border diagonalUp="false" diagonalDown="false">
      <left/>
      <right/>
      <top/>
      <bottom/>
      <diagonal/>
    </border>
    <border diagonalUp="false" diagonalDown="false">
      <left style="thin">
        <color rgb="FFD8CDBC"/>
      </left>
      <right style="thin">
        <color rgb="FFD8CDBC"/>
      </right>
      <top style="thin">
        <color rgb="FFD8CDBC"/>
      </top>
      <bottom style="thin">
        <color rgb="FFD8CDB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4" fontId="6" fillId="8" borderId="1" xfId="0" applyFont="true" applyBorder="true" applyAlignment="true" applyProtection="false">
      <alignment horizontal="center" vertical="top" textRotation="0" wrapText="fals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5" fontId="8" fillId="8" borderId="1" xfId="0" applyFont="true" applyBorder="true" applyAlignment="true" applyProtection="false">
      <alignment horizontal="center" vertical="top" textRotation="0" wrapText="fals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false" indent="0" shrinkToFit="false"/>
      <protection locked="true" hidden="false"/>
    </xf>
    <xf numFmtId="164" fontId="6" fillId="7" borderId="1" xfId="0" applyFont="true" applyBorder="true" applyAlignment="true" applyProtection="false">
      <alignment horizontal="general" vertical="top" textRotation="0" wrapText="false" indent="0" shrinkToFit="false"/>
      <protection locked="true" hidden="false"/>
    </xf>
    <xf numFmtId="164" fontId="6" fillId="9" borderId="0" xfId="0" applyFont="true" applyBorder="fals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AF6F0"/>
      <rgbColor rgb="FFFF0000"/>
      <rgbColor rgb="FF00FF00"/>
      <rgbColor rgb="FF0000FF"/>
      <rgbColor rgb="FFFFFF00"/>
      <rgbColor rgb="FFFF00FF"/>
      <rgbColor rgb="FF00FFFF"/>
      <rgbColor rgb="FF800000"/>
      <rgbColor rgb="FF008000"/>
      <rgbColor rgb="FF000080"/>
      <rgbColor rgb="FF8A6A3A"/>
      <rgbColor rgb="FF800080"/>
      <rgbColor rgb="FF008080"/>
      <rgbColor rgb="FFD8CDBC"/>
      <rgbColor rgb="FF808080"/>
      <rgbColor rgb="FF9999FF"/>
      <rgbColor rgb="FF993366"/>
      <rgbColor rgb="FFFFF6E0"/>
      <rgbColor rgb="FFD8EEFF"/>
      <rgbColor rgb="FF660066"/>
      <rgbColor rgb="FFFF8080"/>
      <rgbColor rgb="FF0066CC"/>
      <rgbColor rgb="FFECDCFF"/>
      <rgbColor rgb="FF000080"/>
      <rgbColor rgb="FFFF00FF"/>
      <rgbColor rgb="FFFFFF00"/>
      <rgbColor rgb="FF00FFFF"/>
      <rgbColor rgb="FF800080"/>
      <rgbColor rgb="FF800000"/>
      <rgbColor rgb="FF008080"/>
      <rgbColor rgb="FF0000FF"/>
      <rgbColor rgb="FF00CCFF"/>
      <rgbColor rgb="FFEFEFEF"/>
      <rgbColor rgb="FFD8F7E2"/>
      <rgbColor rgb="FFFFF3DF"/>
      <rgbColor rgb="FF99CCFF"/>
      <rgbColor rgb="FFFF99CC"/>
      <rgbColor rgb="FFCC99FF"/>
      <rgbColor rgb="FFFFE6D2"/>
      <rgbColor rgb="FF3366FF"/>
      <rgbColor rgb="FF33CCCC"/>
      <rgbColor rgb="FF99CC00"/>
      <rgbColor rgb="FFFFCC00"/>
      <rgbColor rgb="FFFF9900"/>
      <rgbColor rgb="FFFF6600"/>
      <rgbColor rgb="FF6B5B45"/>
      <rgbColor rgb="FF969696"/>
      <rgbColor rgb="FF003366"/>
      <rgbColor rgb="FF339966"/>
      <rgbColor rgb="FF003300"/>
      <rgbColor rgb="FF231A10"/>
      <rgbColor rgb="FF993300"/>
      <rgbColor rgb="FF993366"/>
      <rgbColor rgb="FF333399"/>
      <rgbColor rgb="FF1F1B1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08"/>
  </cols>
  <sheetData>
    <row r="1" customFormat="false" ht="19.5" hidden="false" customHeight="true" outlineLevel="0" collapsed="false">
      <c r="A1" s="1" t="s">
        <v>0</v>
      </c>
    </row>
    <row r="2" customFormat="false" ht="15" hidden="false" customHeight="false" outlineLevel="0" collapsed="false">
      <c r="A2" s="2" t="s">
        <v>1</v>
      </c>
    </row>
    <row r="4" customFormat="false" ht="15" hidden="false" customHeight="false" outlineLevel="0" collapsed="false">
      <c r="A4" s="3"/>
      <c r="B4" s="4"/>
    </row>
    <row r="5" customFormat="false" ht="15" hidden="false" customHeight="false" outlineLevel="0" collapsed="false">
      <c r="A5" s="5" t="s">
        <v>2</v>
      </c>
      <c r="B5" s="6"/>
    </row>
    <row r="6" customFormat="false" ht="31.5" hidden="false" customHeight="true" outlineLevel="0" collapsed="false">
      <c r="A6" s="7" t="s">
        <v>3</v>
      </c>
      <c r="B6" s="4" t="s">
        <v>4</v>
      </c>
    </row>
    <row r="7" customFormat="false" ht="31.5" hidden="false" customHeight="true" outlineLevel="0" collapsed="false">
      <c r="A7" s="7" t="s">
        <v>5</v>
      </c>
      <c r="B7" s="4" t="s">
        <v>6</v>
      </c>
    </row>
    <row r="8" customFormat="false" ht="15" hidden="false" customHeight="false" outlineLevel="0" collapsed="false">
      <c r="A8" s="7" t="s">
        <v>7</v>
      </c>
      <c r="B8" s="4" t="s">
        <v>8</v>
      </c>
    </row>
    <row r="9" customFormat="false" ht="15" hidden="false" customHeight="false" outlineLevel="0" collapsed="false">
      <c r="A9" s="7" t="s">
        <v>9</v>
      </c>
      <c r="B9" s="4" t="s">
        <v>10</v>
      </c>
    </row>
    <row r="10" customFormat="false" ht="15" hidden="false" customHeight="false" outlineLevel="0" collapsed="false">
      <c r="A10" s="3"/>
      <c r="B10" s="4"/>
    </row>
    <row r="11" customFormat="false" ht="15" hidden="false" customHeight="false" outlineLevel="0" collapsed="false">
      <c r="A11" s="5" t="s">
        <v>11</v>
      </c>
      <c r="B11" s="6"/>
    </row>
    <row r="12" customFormat="false" ht="31.5" hidden="false" customHeight="true" outlineLevel="0" collapsed="false">
      <c r="A12" s="7" t="s">
        <v>12</v>
      </c>
      <c r="B12" s="4" t="s">
        <v>13</v>
      </c>
    </row>
    <row r="13" customFormat="false" ht="15" hidden="false" customHeight="false" outlineLevel="0" collapsed="false">
      <c r="A13" s="7" t="s">
        <v>14</v>
      </c>
      <c r="B13" s="4" t="s">
        <v>15</v>
      </c>
    </row>
    <row r="14" customFormat="false" ht="31.5" hidden="false" customHeight="true" outlineLevel="0" collapsed="false">
      <c r="A14" s="7" t="s">
        <v>16</v>
      </c>
      <c r="B14" s="4" t="s">
        <v>17</v>
      </c>
    </row>
    <row r="15" customFormat="false" ht="31.5" hidden="false" customHeight="true" outlineLevel="0" collapsed="false">
      <c r="A15" s="7" t="s">
        <v>18</v>
      </c>
      <c r="B15" s="4" t="s">
        <v>19</v>
      </c>
    </row>
    <row r="16" customFormat="false" ht="15" hidden="false" customHeight="false" outlineLevel="0" collapsed="false">
      <c r="A16" s="3"/>
      <c r="B16" s="4"/>
    </row>
    <row r="17" customFormat="false" ht="15" hidden="false" customHeight="false" outlineLevel="0" collapsed="false">
      <c r="A17" s="5" t="s">
        <v>20</v>
      </c>
      <c r="B17" s="6"/>
    </row>
    <row r="18" customFormat="false" ht="31.5" hidden="false" customHeight="true" outlineLevel="0" collapsed="false">
      <c r="A18" s="7" t="s">
        <v>21</v>
      </c>
      <c r="B18" s="4" t="s">
        <v>22</v>
      </c>
    </row>
    <row r="19" customFormat="false" ht="31.5" hidden="false" customHeight="true" outlineLevel="0" collapsed="false">
      <c r="A19" s="7" t="s">
        <v>23</v>
      </c>
      <c r="B19" s="4" t="s">
        <v>24</v>
      </c>
    </row>
    <row r="20" customFormat="false" ht="31.5" hidden="false" customHeight="true" outlineLevel="0" collapsed="false">
      <c r="A20" s="7" t="s">
        <v>25</v>
      </c>
      <c r="B20" s="4" t="s">
        <v>26</v>
      </c>
    </row>
    <row r="21" customFormat="false" ht="31.5" hidden="false" customHeight="true" outlineLevel="0" collapsed="false">
      <c r="A21" s="7" t="s">
        <v>27</v>
      </c>
      <c r="B21" s="4" t="s">
        <v>28</v>
      </c>
    </row>
    <row r="22" customFormat="false" ht="31.5" hidden="false" customHeight="true" outlineLevel="0" collapsed="false">
      <c r="A22" s="7" t="s">
        <v>29</v>
      </c>
      <c r="B22" s="4" t="s">
        <v>30</v>
      </c>
    </row>
    <row r="23" customFormat="false" ht="15" hidden="false" customHeight="false" outlineLevel="0" collapsed="false">
      <c r="A23" s="3"/>
      <c r="B23" s="4"/>
    </row>
    <row r="24" customFormat="false" ht="15" hidden="false" customHeight="false" outlineLevel="0" collapsed="false">
      <c r="A24" s="5" t="s">
        <v>31</v>
      </c>
      <c r="B24" s="6"/>
    </row>
    <row r="25" customFormat="false" ht="31.5" hidden="false" customHeight="true" outlineLevel="0" collapsed="false">
      <c r="A25" s="7" t="s">
        <v>32</v>
      </c>
      <c r="B25" s="4" t="s">
        <v>33</v>
      </c>
    </row>
    <row r="26" customFormat="false" ht="31.5" hidden="false" customHeight="true" outlineLevel="0" collapsed="false">
      <c r="A26" s="7" t="s">
        <v>34</v>
      </c>
      <c r="B26" s="4" t="s">
        <v>35</v>
      </c>
    </row>
    <row r="27" customFormat="false" ht="31.5" hidden="false" customHeight="true" outlineLevel="0" collapsed="false">
      <c r="A27" s="7" t="s">
        <v>36</v>
      </c>
      <c r="B27" s="4" t="s">
        <v>37</v>
      </c>
    </row>
    <row r="28" customFormat="false" ht="31.5" hidden="false" customHeight="true" outlineLevel="0" collapsed="false">
      <c r="A28" s="7" t="s">
        <v>38</v>
      </c>
      <c r="B28" s="4" t="s">
        <v>39</v>
      </c>
    </row>
    <row r="29" customFormat="false" ht="31.5" hidden="false" customHeight="true" outlineLevel="0" collapsed="false">
      <c r="A29" s="7" t="s">
        <v>40</v>
      </c>
      <c r="B29" s="4"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4" min="3" style="0" width="24"/>
    <col collapsed="false" customWidth="true" hidden="false" outlineLevel="0" max="5" min="5" style="0" width="15"/>
    <col collapsed="false" customWidth="true" hidden="false" outlineLevel="0" max="6" min="6" style="0" width="22"/>
    <col collapsed="false" customWidth="true" hidden="false" outlineLevel="0" max="7" min="7" style="0" width="26"/>
    <col collapsed="false" customWidth="true" hidden="false" outlineLevel="0" max="8" min="8" style="0" width="8"/>
    <col collapsed="false" customWidth="true" hidden="false" outlineLevel="0" max="9" min="9" style="0" width="20"/>
    <col collapsed="false" customWidth="true" hidden="false" outlineLevel="0" max="10" min="10" style="0" width="42"/>
    <col collapsed="false" customWidth="true" hidden="false" outlineLevel="0" max="11" min="11" style="0" width="90"/>
  </cols>
  <sheetData>
    <row r="1" customFormat="false" ht="19.5" hidden="false" customHeight="true" outlineLevel="0" collapsed="false">
      <c r="A1" s="1" t="s">
        <v>42</v>
      </c>
    </row>
    <row r="2" customFormat="false" ht="15" hidden="false" customHeight="false" outlineLevel="0" collapsed="false">
      <c r="A2" s="2" t="s">
        <v>43</v>
      </c>
    </row>
    <row r="4" customFormat="false" ht="30" hidden="false" customHeight="true" outlineLevel="0" collapsed="false">
      <c r="A4" s="8" t="s">
        <v>44</v>
      </c>
      <c r="B4" s="8" t="s">
        <v>45</v>
      </c>
      <c r="C4" s="8" t="s">
        <v>46</v>
      </c>
      <c r="D4" s="8" t="s">
        <v>47</v>
      </c>
      <c r="E4" s="8" t="s">
        <v>48</v>
      </c>
      <c r="F4" s="8" t="s">
        <v>49</v>
      </c>
      <c r="G4" s="8" t="s">
        <v>50</v>
      </c>
      <c r="H4" s="8" t="s">
        <v>51</v>
      </c>
      <c r="I4" s="8" t="s">
        <v>52</v>
      </c>
      <c r="J4" s="8" t="s">
        <v>53</v>
      </c>
      <c r="K4" s="8" t="s">
        <v>54</v>
      </c>
    </row>
    <row r="5" customFormat="false" ht="23.85" hidden="false" customHeight="false" outlineLevel="0" collapsed="false">
      <c r="A5" s="9" t="n">
        <v>1</v>
      </c>
      <c r="B5" s="10" t="s">
        <v>55</v>
      </c>
      <c r="C5" s="11" t="s">
        <v>56</v>
      </c>
      <c r="D5" s="12" t="s">
        <v>57</v>
      </c>
      <c r="E5" s="13" t="s">
        <v>58</v>
      </c>
      <c r="F5" s="14" t="s">
        <v>59</v>
      </c>
      <c r="G5" s="15" t="s">
        <v>60</v>
      </c>
      <c r="H5" s="16" t="n">
        <f aca="false">IF(C5="",0,LEN(C5)-LEN(SUBSTITUTE(C5,",",""))+1)+IF(D5="",0,LEN(D5)-LEN(SUBSTITUTE(D5,",",""))+1)+IF(E5="",0,LEN(E5)-LEN(SUBSTITUTE(E5,",",""))+1)+IF(F5="",0,LEN(F5)-LEN(SUBSTITUTE(F5,",",""))+1)+IF(G5="",0,LEN(G5)-LEN(SUBSTITUTE(G5,",",""))+1)</f>
        <v>12</v>
      </c>
      <c r="I5" s="10" t="s">
        <v>61</v>
      </c>
      <c r="J5" s="10" t="s">
        <v>62</v>
      </c>
      <c r="K5" s="10" t="s">
        <v>63</v>
      </c>
    </row>
    <row r="6" customFormat="false" ht="23.85" hidden="false" customHeight="false" outlineLevel="0" collapsed="false">
      <c r="A6" s="17" t="n">
        <v>2</v>
      </c>
      <c r="B6" s="18" t="s">
        <v>64</v>
      </c>
      <c r="C6" s="11" t="s">
        <v>65</v>
      </c>
      <c r="D6" s="12" t="s">
        <v>66</v>
      </c>
      <c r="E6" s="13" t="s">
        <v>67</v>
      </c>
      <c r="F6" s="14" t="s">
        <v>68</v>
      </c>
      <c r="G6" s="15" t="s">
        <v>69</v>
      </c>
      <c r="H6" s="19" t="n">
        <f aca="false">IF(C6="",0,LEN(C6)-LEN(SUBSTITUTE(C6,",",""))+1)+IF(D6="",0,LEN(D6)-LEN(SUBSTITUTE(D6,",",""))+1)+IF(E6="",0,LEN(E6)-LEN(SUBSTITUTE(E6,",",""))+1)+IF(F6="",0,LEN(F6)-LEN(SUBSTITUTE(F6,",",""))+1)+IF(G6="",0,LEN(G6)-LEN(SUBSTITUTE(G6,",",""))+1)</f>
        <v>13</v>
      </c>
      <c r="I6" s="18" t="s">
        <v>61</v>
      </c>
      <c r="J6" s="18" t="s">
        <v>70</v>
      </c>
      <c r="K6" s="18" t="s">
        <v>71</v>
      </c>
    </row>
    <row r="7" customFormat="false" ht="23.85" hidden="false" customHeight="false" outlineLevel="0" collapsed="false">
      <c r="A7" s="9" t="n">
        <v>3</v>
      </c>
      <c r="B7" s="10" t="s">
        <v>72</v>
      </c>
      <c r="C7" s="11" t="s">
        <v>73</v>
      </c>
      <c r="D7" s="12" t="s">
        <v>74</v>
      </c>
      <c r="E7" s="13" t="s">
        <v>75</v>
      </c>
      <c r="F7" s="14" t="s">
        <v>76</v>
      </c>
      <c r="G7" s="15" t="s">
        <v>77</v>
      </c>
      <c r="H7" s="16" t="n">
        <f aca="false">IF(C7="",0,LEN(C7)-LEN(SUBSTITUTE(C7,",",""))+1)+IF(D7="",0,LEN(D7)-LEN(SUBSTITUTE(D7,",",""))+1)+IF(E7="",0,LEN(E7)-LEN(SUBSTITUTE(E7,",",""))+1)+IF(F7="",0,LEN(F7)-LEN(SUBSTITUTE(F7,",",""))+1)+IF(G7="",0,LEN(G7)-LEN(SUBSTITUTE(G7,",",""))+1)</f>
        <v>12</v>
      </c>
      <c r="I7" s="10" t="s">
        <v>61</v>
      </c>
      <c r="J7" s="10" t="s">
        <v>78</v>
      </c>
      <c r="K7" s="10" t="s">
        <v>79</v>
      </c>
    </row>
    <row r="8" customFormat="false" ht="23.85" hidden="false" customHeight="false" outlineLevel="0" collapsed="false">
      <c r="A8" s="17" t="n">
        <v>4</v>
      </c>
      <c r="B8" s="18" t="s">
        <v>80</v>
      </c>
      <c r="C8" s="11" t="s">
        <v>81</v>
      </c>
      <c r="D8" s="12" t="s">
        <v>82</v>
      </c>
      <c r="E8" s="13" t="s">
        <v>83</v>
      </c>
      <c r="F8" s="14" t="s">
        <v>84</v>
      </c>
      <c r="G8" s="15" t="s">
        <v>85</v>
      </c>
      <c r="H8" s="19" t="n">
        <f aca="false">IF(C8="",0,LEN(C8)-LEN(SUBSTITUTE(C8,",",""))+1)+IF(D8="",0,LEN(D8)-LEN(SUBSTITUTE(D8,",",""))+1)+IF(E8="",0,LEN(E8)-LEN(SUBSTITUTE(E8,",",""))+1)+IF(F8="",0,LEN(F8)-LEN(SUBSTITUTE(F8,",",""))+1)+IF(G8="",0,LEN(G8)-LEN(SUBSTITUTE(G8,",",""))+1)</f>
        <v>12</v>
      </c>
      <c r="I8" s="18" t="s">
        <v>61</v>
      </c>
      <c r="J8" s="18" t="s">
        <v>86</v>
      </c>
      <c r="K8" s="18" t="s">
        <v>87</v>
      </c>
    </row>
    <row r="9" customFormat="false" ht="23.85" hidden="false" customHeight="false" outlineLevel="0" collapsed="false">
      <c r="A9" s="9" t="n">
        <v>5</v>
      </c>
      <c r="B9" s="10" t="s">
        <v>88</v>
      </c>
      <c r="C9" s="11" t="s">
        <v>89</v>
      </c>
      <c r="D9" s="12" t="s">
        <v>90</v>
      </c>
      <c r="E9" s="13" t="s">
        <v>91</v>
      </c>
      <c r="F9" s="14" t="s">
        <v>92</v>
      </c>
      <c r="G9" s="15" t="s">
        <v>93</v>
      </c>
      <c r="H9" s="16" t="n">
        <f aca="false">IF(C9="",0,LEN(C9)-LEN(SUBSTITUTE(C9,",",""))+1)+IF(D9="",0,LEN(D9)-LEN(SUBSTITUTE(D9,",",""))+1)+IF(E9="",0,LEN(E9)-LEN(SUBSTITUTE(E9,",",""))+1)+IF(F9="",0,LEN(F9)-LEN(SUBSTITUTE(F9,",",""))+1)+IF(G9="",0,LEN(G9)-LEN(SUBSTITUTE(G9,",",""))+1)</f>
        <v>13</v>
      </c>
      <c r="I9" s="10" t="s">
        <v>61</v>
      </c>
      <c r="J9" s="10" t="s">
        <v>94</v>
      </c>
      <c r="K9" s="10" t="s">
        <v>95</v>
      </c>
    </row>
    <row r="10" customFormat="false" ht="23.85" hidden="false" customHeight="false" outlineLevel="0" collapsed="false">
      <c r="A10" s="17" t="n">
        <v>6</v>
      </c>
      <c r="B10" s="18" t="s">
        <v>96</v>
      </c>
      <c r="C10" s="11" t="s">
        <v>97</v>
      </c>
      <c r="D10" s="12" t="s">
        <v>98</v>
      </c>
      <c r="E10" s="13" t="s">
        <v>99</v>
      </c>
      <c r="F10" s="14" t="s">
        <v>100</v>
      </c>
      <c r="G10" s="15" t="s">
        <v>101</v>
      </c>
      <c r="H10" s="19" t="n">
        <f aca="false">IF(C10="",0,LEN(C10)-LEN(SUBSTITUTE(C10,",",""))+1)+IF(D10="",0,LEN(D10)-LEN(SUBSTITUTE(D10,",",""))+1)+IF(E10="",0,LEN(E10)-LEN(SUBSTITUTE(E10,",",""))+1)+IF(F10="",0,LEN(F10)-LEN(SUBSTITUTE(F10,",",""))+1)+IF(G10="",0,LEN(G10)-LEN(SUBSTITUTE(G10,",",""))+1)</f>
        <v>11</v>
      </c>
      <c r="I10" s="18" t="s">
        <v>102</v>
      </c>
      <c r="J10" s="18" t="s">
        <v>103</v>
      </c>
      <c r="K10" s="18" t="s">
        <v>104</v>
      </c>
    </row>
    <row r="11" customFormat="false" ht="23.85" hidden="false" customHeight="false" outlineLevel="0" collapsed="false">
      <c r="A11" s="9" t="n">
        <v>7</v>
      </c>
      <c r="B11" s="10" t="s">
        <v>105</v>
      </c>
      <c r="C11" s="11" t="s">
        <v>106</v>
      </c>
      <c r="D11" s="12" t="s">
        <v>107</v>
      </c>
      <c r="E11" s="13" t="s">
        <v>99</v>
      </c>
      <c r="F11" s="14" t="s">
        <v>108</v>
      </c>
      <c r="G11" s="15" t="s">
        <v>109</v>
      </c>
      <c r="H11" s="16" t="n">
        <f aca="false">IF(C11="",0,LEN(C11)-LEN(SUBSTITUTE(C11,",",""))+1)+IF(D11="",0,LEN(D11)-LEN(SUBSTITUTE(D11,",",""))+1)+IF(E11="",0,LEN(E11)-LEN(SUBSTITUTE(E11,",",""))+1)+IF(F11="",0,LEN(F11)-LEN(SUBSTITUTE(F11,",",""))+1)+IF(G11="",0,LEN(G11)-LEN(SUBSTITUTE(G11,",",""))+1)</f>
        <v>12</v>
      </c>
      <c r="I11" s="10" t="s">
        <v>61</v>
      </c>
      <c r="J11" s="10" t="s">
        <v>110</v>
      </c>
      <c r="K11" s="10" t="s">
        <v>111</v>
      </c>
    </row>
    <row r="12" customFormat="false" ht="23.85" hidden="false" customHeight="false" outlineLevel="0" collapsed="false">
      <c r="A12" s="17" t="n">
        <v>8</v>
      </c>
      <c r="B12" s="18" t="s">
        <v>112</v>
      </c>
      <c r="C12" s="11" t="s">
        <v>113</v>
      </c>
      <c r="D12" s="12" t="s">
        <v>114</v>
      </c>
      <c r="E12" s="13" t="s">
        <v>115</v>
      </c>
      <c r="F12" s="14" t="s">
        <v>116</v>
      </c>
      <c r="G12" s="15" t="s">
        <v>117</v>
      </c>
      <c r="H12" s="19" t="n">
        <f aca="false">IF(C12="",0,LEN(C12)-LEN(SUBSTITUTE(C12,",",""))+1)+IF(D12="",0,LEN(D12)-LEN(SUBSTITUTE(D12,",",""))+1)+IF(E12="",0,LEN(E12)-LEN(SUBSTITUTE(E12,",",""))+1)+IF(F12="",0,LEN(F12)-LEN(SUBSTITUTE(F12,",",""))+1)+IF(G12="",0,LEN(G12)-LEN(SUBSTITUTE(G12,",",""))+1)</f>
        <v>13</v>
      </c>
      <c r="I12" s="18" t="s">
        <v>102</v>
      </c>
      <c r="J12" s="18" t="s">
        <v>103</v>
      </c>
      <c r="K12" s="18" t="s">
        <v>118</v>
      </c>
    </row>
    <row r="13" customFormat="false" ht="23.85" hidden="false" customHeight="false" outlineLevel="0" collapsed="false">
      <c r="A13" s="9" t="n">
        <v>9</v>
      </c>
      <c r="B13" s="10" t="s">
        <v>119</v>
      </c>
      <c r="C13" s="11" t="s">
        <v>120</v>
      </c>
      <c r="D13" s="12" t="s">
        <v>121</v>
      </c>
      <c r="E13" s="13" t="s">
        <v>91</v>
      </c>
      <c r="F13" s="14" t="s">
        <v>122</v>
      </c>
      <c r="G13" s="15" t="s">
        <v>123</v>
      </c>
      <c r="H13" s="16" t="n">
        <f aca="false">IF(C13="",0,LEN(C13)-LEN(SUBSTITUTE(C13,",",""))+1)+IF(D13="",0,LEN(D13)-LEN(SUBSTITUTE(D13,",",""))+1)+IF(E13="",0,LEN(E13)-LEN(SUBSTITUTE(E13,",",""))+1)+IF(F13="",0,LEN(F13)-LEN(SUBSTITUTE(F13,",",""))+1)+IF(G13="",0,LEN(G13)-LEN(SUBSTITUTE(G13,",",""))+1)</f>
        <v>11</v>
      </c>
      <c r="I13" s="10" t="s">
        <v>61</v>
      </c>
      <c r="J13" s="10" t="s">
        <v>124</v>
      </c>
      <c r="K13" s="10" t="s">
        <v>125</v>
      </c>
    </row>
    <row r="14" customFormat="false" ht="23.85" hidden="false" customHeight="false" outlineLevel="0" collapsed="false">
      <c r="A14" s="17" t="n">
        <v>10</v>
      </c>
      <c r="B14" s="18" t="s">
        <v>126</v>
      </c>
      <c r="C14" s="11" t="s">
        <v>127</v>
      </c>
      <c r="D14" s="12" t="s">
        <v>128</v>
      </c>
      <c r="E14" s="13" t="s">
        <v>67</v>
      </c>
      <c r="F14" s="14" t="s">
        <v>129</v>
      </c>
      <c r="G14" s="15" t="s">
        <v>109</v>
      </c>
      <c r="H14" s="19" t="n">
        <f aca="false">IF(C14="",0,LEN(C14)-LEN(SUBSTITUTE(C14,",",""))+1)+IF(D14="",0,LEN(D14)-LEN(SUBSTITUTE(D14,",",""))+1)+IF(E14="",0,LEN(E14)-LEN(SUBSTITUTE(E14,",",""))+1)+IF(F14="",0,LEN(F14)-LEN(SUBSTITUTE(F14,",",""))+1)+IF(G14="",0,LEN(G14)-LEN(SUBSTITUTE(G14,",",""))+1)</f>
        <v>13</v>
      </c>
      <c r="I14" s="18" t="s">
        <v>102</v>
      </c>
      <c r="J14" s="18" t="s">
        <v>103</v>
      </c>
      <c r="K14" s="18" t="s">
        <v>130</v>
      </c>
    </row>
    <row r="15" customFormat="false" ht="23.85" hidden="false" customHeight="false" outlineLevel="0" collapsed="false">
      <c r="A15" s="9" t="n">
        <v>11</v>
      </c>
      <c r="B15" s="10" t="s">
        <v>131</v>
      </c>
      <c r="C15" s="11" t="s">
        <v>132</v>
      </c>
      <c r="D15" s="12" t="s">
        <v>133</v>
      </c>
      <c r="E15" s="13" t="s">
        <v>115</v>
      </c>
      <c r="F15" s="14" t="s">
        <v>134</v>
      </c>
      <c r="G15" s="15" t="s">
        <v>135</v>
      </c>
      <c r="H15" s="16" t="n">
        <f aca="false">IF(C15="",0,LEN(C15)-LEN(SUBSTITUTE(C15,",",""))+1)+IF(D15="",0,LEN(D15)-LEN(SUBSTITUTE(D15,",",""))+1)+IF(E15="",0,LEN(E15)-LEN(SUBSTITUTE(E15,",",""))+1)+IF(F15="",0,LEN(F15)-LEN(SUBSTITUTE(F15,",",""))+1)+IF(G15="",0,LEN(G15)-LEN(SUBSTITUTE(G15,",",""))+1)</f>
        <v>11</v>
      </c>
      <c r="I15" s="10" t="s">
        <v>61</v>
      </c>
      <c r="J15" s="10" t="s">
        <v>136</v>
      </c>
      <c r="K15" s="10" t="s">
        <v>137</v>
      </c>
    </row>
    <row r="16" customFormat="false" ht="23.85" hidden="false" customHeight="false" outlineLevel="0" collapsed="false">
      <c r="A16" s="17" t="n">
        <v>12</v>
      </c>
      <c r="B16" s="18" t="s">
        <v>138</v>
      </c>
      <c r="C16" s="11" t="s">
        <v>139</v>
      </c>
      <c r="D16" s="12" t="s">
        <v>140</v>
      </c>
      <c r="E16" s="13" t="s">
        <v>115</v>
      </c>
      <c r="F16" s="14" t="s">
        <v>141</v>
      </c>
      <c r="G16" s="15" t="s">
        <v>142</v>
      </c>
      <c r="H16" s="19" t="n">
        <f aca="false">IF(C16="",0,LEN(C16)-LEN(SUBSTITUTE(C16,",",""))+1)+IF(D16="",0,LEN(D16)-LEN(SUBSTITUTE(D16,",",""))+1)+IF(E16="",0,LEN(E16)-LEN(SUBSTITUTE(E16,",",""))+1)+IF(F16="",0,LEN(F16)-LEN(SUBSTITUTE(F16,",",""))+1)+IF(G16="",0,LEN(G16)-LEN(SUBSTITUTE(G16,",",""))+1)</f>
        <v>13</v>
      </c>
      <c r="I16" s="18" t="s">
        <v>102</v>
      </c>
      <c r="J16" s="18" t="s">
        <v>103</v>
      </c>
      <c r="K16" s="18" t="s">
        <v>143</v>
      </c>
    </row>
    <row r="17" customFormat="false" ht="23.85" hidden="false" customHeight="false" outlineLevel="0" collapsed="false">
      <c r="A17" s="9" t="n">
        <v>13</v>
      </c>
      <c r="B17" s="10" t="s">
        <v>144</v>
      </c>
      <c r="C17" s="11" t="s">
        <v>145</v>
      </c>
      <c r="D17" s="12" t="s">
        <v>146</v>
      </c>
      <c r="E17" s="13" t="s">
        <v>75</v>
      </c>
      <c r="F17" s="14" t="s">
        <v>147</v>
      </c>
      <c r="G17" s="15" t="s">
        <v>148</v>
      </c>
      <c r="H17" s="16" t="n">
        <f aca="false">IF(C17="",0,LEN(C17)-LEN(SUBSTITUTE(C17,",",""))+1)+IF(D17="",0,LEN(D17)-LEN(SUBSTITUTE(D17,",",""))+1)+IF(E17="",0,LEN(E17)-LEN(SUBSTITUTE(E17,",",""))+1)+IF(F17="",0,LEN(F17)-LEN(SUBSTITUTE(F17,",",""))+1)+IF(G17="",0,LEN(G17)-LEN(SUBSTITUTE(G17,",",""))+1)</f>
        <v>13</v>
      </c>
      <c r="I17" s="10" t="s">
        <v>102</v>
      </c>
      <c r="J17" s="10" t="s">
        <v>103</v>
      </c>
      <c r="K17" s="10" t="s">
        <v>149</v>
      </c>
    </row>
    <row r="18" customFormat="false" ht="23.85" hidden="false" customHeight="false" outlineLevel="0" collapsed="false">
      <c r="A18" s="17" t="n">
        <v>14</v>
      </c>
      <c r="B18" s="18" t="s">
        <v>150</v>
      </c>
      <c r="C18" s="11" t="s">
        <v>151</v>
      </c>
      <c r="D18" s="12" t="s">
        <v>152</v>
      </c>
      <c r="E18" s="13" t="s">
        <v>67</v>
      </c>
      <c r="F18" s="14" t="s">
        <v>59</v>
      </c>
      <c r="G18" s="15" t="s">
        <v>153</v>
      </c>
      <c r="H18" s="19" t="n">
        <f aca="false">IF(C18="",0,LEN(C18)-LEN(SUBSTITUTE(C18,",",""))+1)+IF(D18="",0,LEN(D18)-LEN(SUBSTITUTE(D18,",",""))+1)+IF(E18="",0,LEN(E18)-LEN(SUBSTITUTE(E18,",",""))+1)+IF(F18="",0,LEN(F18)-LEN(SUBSTITUTE(F18,",",""))+1)+IF(G18="",0,LEN(G18)-LEN(SUBSTITUTE(G18,",",""))+1)</f>
        <v>13</v>
      </c>
      <c r="I18" s="18" t="s">
        <v>61</v>
      </c>
      <c r="J18" s="18" t="s">
        <v>154</v>
      </c>
      <c r="K18" s="18" t="s">
        <v>155</v>
      </c>
    </row>
    <row r="19" customFormat="false" ht="23.85" hidden="false" customHeight="false" outlineLevel="0" collapsed="false">
      <c r="A19" s="9" t="n">
        <v>15</v>
      </c>
      <c r="B19" s="10" t="s">
        <v>156</v>
      </c>
      <c r="C19" s="11" t="s">
        <v>157</v>
      </c>
      <c r="D19" s="12" t="s">
        <v>158</v>
      </c>
      <c r="E19" s="13" t="s">
        <v>67</v>
      </c>
      <c r="F19" s="14" t="s">
        <v>159</v>
      </c>
      <c r="G19" s="15" t="s">
        <v>160</v>
      </c>
      <c r="H19" s="16" t="n">
        <f aca="false">IF(C19="",0,LEN(C19)-LEN(SUBSTITUTE(C19,",",""))+1)+IF(D19="",0,LEN(D19)-LEN(SUBSTITUTE(D19,",",""))+1)+IF(E19="",0,LEN(E19)-LEN(SUBSTITUTE(E19,",",""))+1)+IF(F19="",0,LEN(F19)-LEN(SUBSTITUTE(F19,",",""))+1)+IF(G19="",0,LEN(G19)-LEN(SUBSTITUTE(G19,",",""))+1)</f>
        <v>12</v>
      </c>
      <c r="I19" s="10" t="s">
        <v>61</v>
      </c>
      <c r="J19" s="10" t="s">
        <v>161</v>
      </c>
      <c r="K19" s="10" t="s">
        <v>162</v>
      </c>
    </row>
    <row r="20" customFormat="false" ht="35.05" hidden="false" customHeight="false" outlineLevel="0" collapsed="false">
      <c r="A20" s="17" t="n">
        <v>16</v>
      </c>
      <c r="B20" s="18" t="s">
        <v>163</v>
      </c>
      <c r="C20" s="11" t="s">
        <v>164</v>
      </c>
      <c r="D20" s="12" t="s">
        <v>165</v>
      </c>
      <c r="E20" s="13" t="s">
        <v>166</v>
      </c>
      <c r="F20" s="14" t="s">
        <v>167</v>
      </c>
      <c r="G20" s="15" t="s">
        <v>168</v>
      </c>
      <c r="H20" s="19" t="n">
        <f aca="false">IF(C20="",0,LEN(C20)-LEN(SUBSTITUTE(C20,",",""))+1)+IF(D20="",0,LEN(D20)-LEN(SUBSTITUTE(D20,",",""))+1)+IF(E20="",0,LEN(E20)-LEN(SUBSTITUTE(E20,",",""))+1)+IF(F20="",0,LEN(F20)-LEN(SUBSTITUTE(F20,",",""))+1)+IF(G20="",0,LEN(G20)-LEN(SUBSTITUTE(G20,",",""))+1)</f>
        <v>12</v>
      </c>
      <c r="I20" s="18" t="s">
        <v>61</v>
      </c>
      <c r="J20" s="18" t="s">
        <v>169</v>
      </c>
      <c r="K20" s="18" t="s">
        <v>170</v>
      </c>
    </row>
    <row r="21" customFormat="false" ht="23.85" hidden="false" customHeight="false" outlineLevel="0" collapsed="false">
      <c r="A21" s="9" t="n">
        <v>17</v>
      </c>
      <c r="B21" s="10" t="s">
        <v>171</v>
      </c>
      <c r="C21" s="11" t="s">
        <v>172</v>
      </c>
      <c r="D21" s="12" t="s">
        <v>173</v>
      </c>
      <c r="E21" s="13" t="s">
        <v>75</v>
      </c>
      <c r="F21" s="14" t="s">
        <v>174</v>
      </c>
      <c r="G21" s="15" t="s">
        <v>153</v>
      </c>
      <c r="H21" s="16" t="n">
        <f aca="false">IF(C21="",0,LEN(C21)-LEN(SUBSTITUTE(C21,",",""))+1)+IF(D21="",0,LEN(D21)-LEN(SUBSTITUTE(D21,",",""))+1)+IF(E21="",0,LEN(E21)-LEN(SUBSTITUTE(E21,",",""))+1)+IF(F21="",0,LEN(F21)-LEN(SUBSTITUTE(F21,",",""))+1)+IF(G21="",0,LEN(G21)-LEN(SUBSTITUTE(G21,",",""))+1)</f>
        <v>12</v>
      </c>
      <c r="I21" s="10" t="s">
        <v>61</v>
      </c>
      <c r="J21" s="10" t="s">
        <v>175</v>
      </c>
      <c r="K21" s="10" t="s">
        <v>176</v>
      </c>
    </row>
    <row r="22" customFormat="false" ht="23.85" hidden="false" customHeight="false" outlineLevel="0" collapsed="false">
      <c r="A22" s="17" t="n">
        <v>18</v>
      </c>
      <c r="B22" s="18" t="s">
        <v>177</v>
      </c>
      <c r="C22" s="11" t="s">
        <v>178</v>
      </c>
      <c r="D22" s="12" t="s">
        <v>179</v>
      </c>
      <c r="E22" s="13" t="s">
        <v>180</v>
      </c>
      <c r="F22" s="14" t="s">
        <v>181</v>
      </c>
      <c r="G22" s="15" t="s">
        <v>182</v>
      </c>
      <c r="H22" s="19" t="n">
        <f aca="false">IF(C22="",0,LEN(C22)-LEN(SUBSTITUTE(C22,",",""))+1)+IF(D22="",0,LEN(D22)-LEN(SUBSTITUTE(D22,",",""))+1)+IF(E22="",0,LEN(E22)-LEN(SUBSTITUTE(E22,",",""))+1)+IF(F22="",0,LEN(F22)-LEN(SUBSTITUTE(F22,",",""))+1)+IF(G22="",0,LEN(G22)-LEN(SUBSTITUTE(G22,",",""))+1)</f>
        <v>13</v>
      </c>
      <c r="I22" s="18" t="s">
        <v>61</v>
      </c>
      <c r="J22" s="18" t="s">
        <v>183</v>
      </c>
      <c r="K22" s="18" t="s">
        <v>184</v>
      </c>
    </row>
    <row r="23" customFormat="false" ht="23.85" hidden="false" customHeight="false" outlineLevel="0" collapsed="false">
      <c r="A23" s="9" t="n">
        <v>19</v>
      </c>
      <c r="B23" s="10" t="s">
        <v>185</v>
      </c>
      <c r="C23" s="11" t="s">
        <v>186</v>
      </c>
      <c r="D23" s="12" t="s">
        <v>187</v>
      </c>
      <c r="E23" s="13" t="s">
        <v>188</v>
      </c>
      <c r="F23" s="14" t="s">
        <v>189</v>
      </c>
      <c r="G23" s="15" t="s">
        <v>85</v>
      </c>
      <c r="H23" s="16" t="n">
        <f aca="false">IF(C23="",0,LEN(C23)-LEN(SUBSTITUTE(C23,",",""))+1)+IF(D23="",0,LEN(D23)-LEN(SUBSTITUTE(D23,",",""))+1)+IF(E23="",0,LEN(E23)-LEN(SUBSTITUTE(E23,",",""))+1)+IF(F23="",0,LEN(F23)-LEN(SUBSTITUTE(F23,",",""))+1)+IF(G23="",0,LEN(G23)-LEN(SUBSTITUTE(G23,",",""))+1)</f>
        <v>13</v>
      </c>
      <c r="I23" s="10" t="s">
        <v>61</v>
      </c>
      <c r="J23" s="10" t="s">
        <v>190</v>
      </c>
      <c r="K23" s="10" t="s">
        <v>191</v>
      </c>
    </row>
    <row r="24" customFormat="false" ht="23.85" hidden="false" customHeight="false" outlineLevel="0" collapsed="false">
      <c r="A24" s="17" t="n">
        <v>20</v>
      </c>
      <c r="B24" s="18" t="s">
        <v>192</v>
      </c>
      <c r="C24" s="11" t="s">
        <v>193</v>
      </c>
      <c r="D24" s="12" t="s">
        <v>194</v>
      </c>
      <c r="E24" s="13" t="s">
        <v>166</v>
      </c>
      <c r="F24" s="14" t="s">
        <v>195</v>
      </c>
      <c r="G24" s="15" t="s">
        <v>101</v>
      </c>
      <c r="H24" s="19" t="n">
        <f aca="false">IF(C24="",0,LEN(C24)-LEN(SUBSTITUTE(C24,",",""))+1)+IF(D24="",0,LEN(D24)-LEN(SUBSTITUTE(D24,",",""))+1)+IF(E24="",0,LEN(E24)-LEN(SUBSTITUTE(E24,",",""))+1)+IF(F24="",0,LEN(F24)-LEN(SUBSTITUTE(F24,",",""))+1)+IF(G24="",0,LEN(G24)-LEN(SUBSTITUTE(G24,",",""))+1)</f>
        <v>11</v>
      </c>
      <c r="I24" s="18" t="s">
        <v>102</v>
      </c>
      <c r="J24" s="18" t="s">
        <v>103</v>
      </c>
      <c r="K24" s="18" t="s">
        <v>196</v>
      </c>
    </row>
    <row r="25" customFormat="false" ht="23.85" hidden="false" customHeight="false" outlineLevel="0" collapsed="false">
      <c r="A25" s="9" t="n">
        <v>21</v>
      </c>
      <c r="B25" s="10" t="s">
        <v>197</v>
      </c>
      <c r="C25" s="11" t="s">
        <v>198</v>
      </c>
      <c r="D25" s="12" t="s">
        <v>199</v>
      </c>
      <c r="E25" s="13" t="s">
        <v>166</v>
      </c>
      <c r="F25" s="14" t="s">
        <v>200</v>
      </c>
      <c r="G25" s="15" t="s">
        <v>109</v>
      </c>
      <c r="H25" s="16" t="n">
        <f aca="false">IF(C25="",0,LEN(C25)-LEN(SUBSTITUTE(C25,",",""))+1)+IF(D25="",0,LEN(D25)-LEN(SUBSTITUTE(D25,",",""))+1)+IF(E25="",0,LEN(E25)-LEN(SUBSTITUTE(E25,",",""))+1)+IF(F25="",0,LEN(F25)-LEN(SUBSTITUTE(F25,",",""))+1)+IF(G25="",0,LEN(G25)-LEN(SUBSTITUTE(G25,",",""))+1)</f>
        <v>13</v>
      </c>
      <c r="I25" s="10" t="s">
        <v>61</v>
      </c>
      <c r="J25" s="10" t="s">
        <v>201</v>
      </c>
      <c r="K25" s="10" t="s">
        <v>202</v>
      </c>
    </row>
    <row r="26" customFormat="false" ht="23.85" hidden="false" customHeight="false" outlineLevel="0" collapsed="false">
      <c r="A26" s="17" t="n">
        <v>22</v>
      </c>
      <c r="B26" s="18" t="s">
        <v>203</v>
      </c>
      <c r="C26" s="11" t="s">
        <v>73</v>
      </c>
      <c r="D26" s="12" t="s">
        <v>204</v>
      </c>
      <c r="E26" s="13" t="s">
        <v>75</v>
      </c>
      <c r="F26" s="14" t="s">
        <v>205</v>
      </c>
      <c r="G26" s="15" t="s">
        <v>206</v>
      </c>
      <c r="H26" s="19" t="n">
        <f aca="false">IF(C26="",0,LEN(C26)-LEN(SUBSTITUTE(C26,",",""))+1)+IF(D26="",0,LEN(D26)-LEN(SUBSTITUTE(D26,",",""))+1)+IF(E26="",0,LEN(E26)-LEN(SUBSTITUTE(E26,",",""))+1)+IF(F26="",0,LEN(F26)-LEN(SUBSTITUTE(F26,",",""))+1)+IF(G26="",0,LEN(G26)-LEN(SUBSTITUTE(G26,",",""))+1)</f>
        <v>13</v>
      </c>
      <c r="I26" s="18" t="s">
        <v>61</v>
      </c>
      <c r="J26" s="18" t="s">
        <v>207</v>
      </c>
      <c r="K26" s="18" t="s">
        <v>208</v>
      </c>
    </row>
    <row r="27" customFormat="false" ht="23.85" hidden="false" customHeight="false" outlineLevel="0" collapsed="false">
      <c r="A27" s="9" t="n">
        <v>23</v>
      </c>
      <c r="B27" s="10" t="s">
        <v>209</v>
      </c>
      <c r="C27" s="11" t="s">
        <v>210</v>
      </c>
      <c r="D27" s="12" t="s">
        <v>211</v>
      </c>
      <c r="E27" s="13" t="s">
        <v>83</v>
      </c>
      <c r="F27" s="14" t="s">
        <v>212</v>
      </c>
      <c r="G27" s="15" t="s">
        <v>101</v>
      </c>
      <c r="H27" s="16" t="n">
        <f aca="false">IF(C27="",0,LEN(C27)-LEN(SUBSTITUTE(C27,",",""))+1)+IF(D27="",0,LEN(D27)-LEN(SUBSTITUTE(D27,",",""))+1)+IF(E27="",0,LEN(E27)-LEN(SUBSTITUTE(E27,",",""))+1)+IF(F27="",0,LEN(F27)-LEN(SUBSTITUTE(F27,",",""))+1)+IF(G27="",0,LEN(G27)-LEN(SUBSTITUTE(G27,",",""))+1)</f>
        <v>13</v>
      </c>
      <c r="I27" s="10" t="s">
        <v>102</v>
      </c>
      <c r="J27" s="10" t="s">
        <v>103</v>
      </c>
      <c r="K27" s="10" t="s">
        <v>213</v>
      </c>
    </row>
    <row r="28" customFormat="false" ht="23.85" hidden="false" customHeight="false" outlineLevel="0" collapsed="false">
      <c r="A28" s="17" t="n">
        <v>24</v>
      </c>
      <c r="B28" s="18" t="s">
        <v>214</v>
      </c>
      <c r="C28" s="11" t="s">
        <v>215</v>
      </c>
      <c r="D28" s="12" t="s">
        <v>216</v>
      </c>
      <c r="E28" s="13" t="s">
        <v>115</v>
      </c>
      <c r="F28" s="14" t="s">
        <v>217</v>
      </c>
      <c r="G28" s="15" t="s">
        <v>109</v>
      </c>
      <c r="H28" s="19" t="n">
        <f aca="false">IF(C28="",0,LEN(C28)-LEN(SUBSTITUTE(C28,",",""))+1)+IF(D28="",0,LEN(D28)-LEN(SUBSTITUTE(D28,",",""))+1)+IF(E28="",0,LEN(E28)-LEN(SUBSTITUTE(E28,",",""))+1)+IF(F28="",0,LEN(F28)-LEN(SUBSTITUTE(F28,",",""))+1)+IF(G28="",0,LEN(G28)-LEN(SUBSTITUTE(G28,",",""))+1)</f>
        <v>11</v>
      </c>
      <c r="I28" s="18" t="s">
        <v>102</v>
      </c>
      <c r="J28" s="18" t="s">
        <v>103</v>
      </c>
      <c r="K28" s="18" t="s">
        <v>218</v>
      </c>
    </row>
    <row r="29" customFormat="false" ht="35.05" hidden="false" customHeight="false" outlineLevel="0" collapsed="false">
      <c r="A29" s="9" t="n">
        <v>25</v>
      </c>
      <c r="B29" s="10" t="s">
        <v>219</v>
      </c>
      <c r="C29" s="11" t="s">
        <v>220</v>
      </c>
      <c r="D29" s="12" t="s">
        <v>221</v>
      </c>
      <c r="E29" s="13" t="s">
        <v>180</v>
      </c>
      <c r="F29" s="14" t="s">
        <v>222</v>
      </c>
      <c r="G29" s="15" t="s">
        <v>223</v>
      </c>
      <c r="H29" s="16" t="n">
        <f aca="false">IF(C29="",0,LEN(C29)-LEN(SUBSTITUTE(C29,",",""))+1)+IF(D29="",0,LEN(D29)-LEN(SUBSTITUTE(D29,",",""))+1)+IF(E29="",0,LEN(E29)-LEN(SUBSTITUTE(E29,",",""))+1)+IF(F29="",0,LEN(F29)-LEN(SUBSTITUTE(F29,",",""))+1)+IF(G29="",0,LEN(G29)-LEN(SUBSTITUTE(G29,",",""))+1)</f>
        <v>13</v>
      </c>
      <c r="I29" s="10" t="s">
        <v>102</v>
      </c>
      <c r="J29" s="10" t="s">
        <v>103</v>
      </c>
      <c r="K29" s="10" t="s">
        <v>224</v>
      </c>
    </row>
    <row r="30" customFormat="false" ht="23.85" hidden="false" customHeight="false" outlineLevel="0" collapsed="false">
      <c r="A30" s="17" t="n">
        <v>26</v>
      </c>
      <c r="B30" s="18" t="s">
        <v>225</v>
      </c>
      <c r="C30" s="11" t="s">
        <v>157</v>
      </c>
      <c r="D30" s="12" t="s">
        <v>226</v>
      </c>
      <c r="E30" s="13" t="s">
        <v>67</v>
      </c>
      <c r="F30" s="14" t="s">
        <v>227</v>
      </c>
      <c r="G30" s="15" t="s">
        <v>109</v>
      </c>
      <c r="H30" s="19" t="n">
        <f aca="false">IF(C30="",0,LEN(C30)-LEN(SUBSTITUTE(C30,",",""))+1)+IF(D30="",0,LEN(D30)-LEN(SUBSTITUTE(D30,",",""))+1)+IF(E30="",0,LEN(E30)-LEN(SUBSTITUTE(E30,",",""))+1)+IF(F30="",0,LEN(F30)-LEN(SUBSTITUTE(F30,",",""))+1)+IF(G30="",0,LEN(G30)-LEN(SUBSTITUTE(G30,",",""))+1)</f>
        <v>13</v>
      </c>
      <c r="I30" s="18" t="s">
        <v>61</v>
      </c>
      <c r="J30" s="18" t="s">
        <v>228</v>
      </c>
      <c r="K30" s="18" t="s">
        <v>229</v>
      </c>
    </row>
    <row r="31" customFormat="false" ht="23.85" hidden="false" customHeight="false" outlineLevel="0" collapsed="false">
      <c r="A31" s="9" t="n">
        <v>27</v>
      </c>
      <c r="B31" s="10" t="s">
        <v>230</v>
      </c>
      <c r="C31" s="11" t="s">
        <v>231</v>
      </c>
      <c r="D31" s="12" t="s">
        <v>216</v>
      </c>
      <c r="E31" s="13" t="s">
        <v>232</v>
      </c>
      <c r="F31" s="14" t="s">
        <v>233</v>
      </c>
      <c r="G31" s="15" t="s">
        <v>101</v>
      </c>
      <c r="H31" s="16" t="n">
        <f aca="false">IF(C31="",0,LEN(C31)-LEN(SUBSTITUTE(C31,",",""))+1)+IF(D31="",0,LEN(D31)-LEN(SUBSTITUTE(D31,",",""))+1)+IF(E31="",0,LEN(E31)-LEN(SUBSTITUTE(E31,",",""))+1)+IF(F31="",0,LEN(F31)-LEN(SUBSTITUTE(F31,",",""))+1)+IF(G31="",0,LEN(G31)-LEN(SUBSTITUTE(G31,",",""))+1)</f>
        <v>11</v>
      </c>
      <c r="I31" s="10" t="s">
        <v>61</v>
      </c>
      <c r="J31" s="10" t="s">
        <v>234</v>
      </c>
      <c r="K31" s="10" t="s">
        <v>235</v>
      </c>
    </row>
    <row r="32" customFormat="false" ht="23.85" hidden="false" customHeight="false" outlineLevel="0" collapsed="false">
      <c r="A32" s="17" t="n">
        <v>28</v>
      </c>
      <c r="B32" s="18" t="s">
        <v>236</v>
      </c>
      <c r="C32" s="11" t="s">
        <v>237</v>
      </c>
      <c r="D32" s="12" t="s">
        <v>238</v>
      </c>
      <c r="E32" s="13" t="s">
        <v>75</v>
      </c>
      <c r="F32" s="14" t="s">
        <v>239</v>
      </c>
      <c r="G32" s="15" t="s">
        <v>206</v>
      </c>
      <c r="H32" s="19" t="n">
        <f aca="false">IF(C32="",0,LEN(C32)-LEN(SUBSTITUTE(C32,",",""))+1)+IF(D32="",0,LEN(D32)-LEN(SUBSTITUTE(D32,",",""))+1)+IF(E32="",0,LEN(E32)-LEN(SUBSTITUTE(E32,",",""))+1)+IF(F32="",0,LEN(F32)-LEN(SUBSTITUTE(F32,",",""))+1)+IF(G32="",0,LEN(G32)-LEN(SUBSTITUTE(G32,",",""))+1)</f>
        <v>12</v>
      </c>
      <c r="I32" s="18" t="s">
        <v>102</v>
      </c>
      <c r="J32" s="18" t="s">
        <v>103</v>
      </c>
      <c r="K32" s="18" t="s">
        <v>240</v>
      </c>
    </row>
    <row r="33" customFormat="false" ht="23.85" hidden="false" customHeight="false" outlineLevel="0" collapsed="false">
      <c r="A33" s="9" t="n">
        <v>29</v>
      </c>
      <c r="B33" s="10" t="s">
        <v>241</v>
      </c>
      <c r="C33" s="11" t="s">
        <v>157</v>
      </c>
      <c r="D33" s="12" t="s">
        <v>242</v>
      </c>
      <c r="E33" s="13" t="s">
        <v>243</v>
      </c>
      <c r="F33" s="14" t="s">
        <v>244</v>
      </c>
      <c r="G33" s="15" t="s">
        <v>245</v>
      </c>
      <c r="H33" s="16" t="n">
        <f aca="false">IF(C33="",0,LEN(C33)-LEN(SUBSTITUTE(C33,",",""))+1)+IF(D33="",0,LEN(D33)-LEN(SUBSTITUTE(D33,",",""))+1)+IF(E33="",0,LEN(E33)-LEN(SUBSTITUTE(E33,",",""))+1)+IF(F33="",0,LEN(F33)-LEN(SUBSTITUTE(F33,",",""))+1)+IF(G33="",0,LEN(G33)-LEN(SUBSTITUTE(G33,",",""))+1)</f>
        <v>13</v>
      </c>
      <c r="I33" s="10" t="s">
        <v>61</v>
      </c>
      <c r="J33" s="10" t="s">
        <v>246</v>
      </c>
      <c r="K33" s="10" t="s">
        <v>247</v>
      </c>
    </row>
    <row r="34" customFormat="false" ht="23.85" hidden="false" customHeight="false" outlineLevel="0" collapsed="false">
      <c r="A34" s="17" t="n">
        <v>30</v>
      </c>
      <c r="B34" s="18" t="s">
        <v>248</v>
      </c>
      <c r="C34" s="11" t="s">
        <v>237</v>
      </c>
      <c r="D34" s="12" t="s">
        <v>249</v>
      </c>
      <c r="E34" s="13" t="s">
        <v>250</v>
      </c>
      <c r="F34" s="14" t="s">
        <v>251</v>
      </c>
      <c r="G34" s="15" t="s">
        <v>182</v>
      </c>
      <c r="H34" s="19" t="n">
        <f aca="false">IF(C34="",0,LEN(C34)-LEN(SUBSTITUTE(C34,",",""))+1)+IF(D34="",0,LEN(D34)-LEN(SUBSTITUTE(D34,",",""))+1)+IF(E34="",0,LEN(E34)-LEN(SUBSTITUTE(E34,",",""))+1)+IF(F34="",0,LEN(F34)-LEN(SUBSTITUTE(F34,",",""))+1)+IF(G34="",0,LEN(G34)-LEN(SUBSTITUTE(G34,",",""))+1)</f>
        <v>13</v>
      </c>
      <c r="I34" s="18" t="s">
        <v>61</v>
      </c>
      <c r="J34" s="18" t="s">
        <v>252</v>
      </c>
      <c r="K34" s="18" t="s">
        <v>253</v>
      </c>
    </row>
    <row r="35" customFormat="false" ht="23.85" hidden="false" customHeight="false" outlineLevel="0" collapsed="false">
      <c r="A35" s="9" t="n">
        <v>31</v>
      </c>
      <c r="B35" s="10" t="s">
        <v>254</v>
      </c>
      <c r="C35" s="11" t="s">
        <v>151</v>
      </c>
      <c r="D35" s="12" t="s">
        <v>255</v>
      </c>
      <c r="E35" s="13" t="s">
        <v>58</v>
      </c>
      <c r="F35" s="14" t="s">
        <v>256</v>
      </c>
      <c r="G35" s="15" t="s">
        <v>60</v>
      </c>
      <c r="H35" s="16" t="n">
        <f aca="false">IF(C35="",0,LEN(C35)-LEN(SUBSTITUTE(C35,",",""))+1)+IF(D35="",0,LEN(D35)-LEN(SUBSTITUTE(D35,",",""))+1)+IF(E35="",0,LEN(E35)-LEN(SUBSTITUTE(E35,",",""))+1)+IF(F35="",0,LEN(F35)-LEN(SUBSTITUTE(F35,",",""))+1)+IF(G35="",0,LEN(G35)-LEN(SUBSTITUTE(G35,",",""))+1)</f>
        <v>12</v>
      </c>
      <c r="I35" s="10" t="s">
        <v>61</v>
      </c>
      <c r="J35" s="10" t="s">
        <v>257</v>
      </c>
      <c r="K35" s="10" t="s">
        <v>258</v>
      </c>
    </row>
    <row r="36" customFormat="false" ht="91" hidden="false" customHeight="false" outlineLevel="0" collapsed="false">
      <c r="A36" s="17" t="n">
        <v>32</v>
      </c>
      <c r="B36" s="18" t="s">
        <v>38</v>
      </c>
      <c r="C36" s="11" t="s">
        <v>259</v>
      </c>
      <c r="D36" s="12" t="s">
        <v>260</v>
      </c>
      <c r="E36" s="13" t="s">
        <v>261</v>
      </c>
      <c r="F36" s="14" t="s">
        <v>262</v>
      </c>
      <c r="G36" s="15" t="s">
        <v>263</v>
      </c>
      <c r="H36" s="19" t="n">
        <f aca="false">IF(C36="",0,LEN(C36)-LEN(SUBSTITUTE(C36,",",""))+1)+IF(D36="",0,LEN(D36)-LEN(SUBSTITUTE(D36,",",""))+1)+IF(E36="",0,LEN(E36)-LEN(SUBSTITUTE(E36,",",""))+1)+IF(F36="",0,LEN(F36)-LEN(SUBSTITUTE(F36,",",""))+1)+IF(G36="",0,LEN(G36)-LEN(SUBSTITUTE(G36,",",""))+1)</f>
        <v>15</v>
      </c>
      <c r="I36" s="20" t="s">
        <v>264</v>
      </c>
      <c r="J36" s="18" t="s">
        <v>103</v>
      </c>
      <c r="K36" s="18" t="s">
        <v>265</v>
      </c>
    </row>
    <row r="38" customFormat="false" ht="25.5" hidden="false" customHeight="true" outlineLevel="0" collapsed="false">
      <c r="A38" s="21" t="s">
        <v>266</v>
      </c>
      <c r="B38" s="21"/>
      <c r="C38" s="21"/>
      <c r="D38" s="21"/>
      <c r="E38" s="21"/>
      <c r="F38" s="21"/>
      <c r="G38" s="21"/>
      <c r="H38" s="21"/>
      <c r="I38" s="21"/>
      <c r="J38" s="21"/>
      <c r="K38" s="21"/>
    </row>
  </sheetData>
  <mergeCells count="1">
    <mergeCell ref="A38:K38"/>
  </mergeCells>
  <dataValidations count="5">
    <dataValidation allowBlank="true" errorStyle="stop" operator="lessThanOrEqual" prompt="Comma-separated labels from the Tag Dictionary sheet, spelled exactly." promptTitle="Vibe tags" showDropDown="false" showErrorMessage="false" showInputMessage="true" sqref="C5:C36" type="textLength">
      <formula1>120</formula1>
      <formula2>0</formula2>
    </dataValidation>
    <dataValidation allowBlank="true" errorStyle="stop" operator="lessThanOrEqual" prompt="Comma-separated labels from the Tag Dictionary sheet, spelled exactly." promptTitle="Intention tags" showDropDown="false" showErrorMessage="false" showInputMessage="true" sqref="D5:D36" type="textLength">
      <formula1>120</formula1>
      <formula2>0</formula2>
    </dataValidation>
    <dataValidation allowBlank="true" errorStyle="stop" operator="lessThanOrEqual" prompt="Comma-separated labels from the Tag Dictionary sheet, spelled exactly." promptTitle="Element tags" showDropDown="false" showErrorMessage="false" showInputMessage="true" sqref="E5:E36" type="textLength">
      <formula1>120</formula1>
      <formula2>0</formula2>
    </dataValidation>
    <dataValidation allowBlank="true" errorStyle="stop" operator="lessThanOrEqual" prompt="Comma-separated labels from the Tag Dictionary sheet, spelled exactly." promptTitle="Theme tags" showDropDown="false" showErrorMessage="false" showInputMessage="true" sqref="F5:F36" type="textLength">
      <formula1>120</formula1>
      <formula2>0</formula2>
    </dataValidation>
    <dataValidation allowBlank="true" errorStyle="stop" operator="lessThanOrEqual" prompt="Comma-separated labels from the Tag Dictionary sheet, spelled exactly." promptTitle="Vibration tags" showDropDown="false" showErrorMessage="false" showInputMessage="true" sqref="G5:G36" type="textLength">
      <formula1>120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13"/>
    <col collapsed="false" customWidth="true" hidden="false" outlineLevel="0" max="5" min="4" style="0" width="15"/>
  </cols>
  <sheetData>
    <row r="1" customFormat="false" ht="19.5" hidden="false" customHeight="true" outlineLevel="0" collapsed="false">
      <c r="A1" s="1" t="s">
        <v>5</v>
      </c>
    </row>
    <row r="2" customFormat="false" ht="15" hidden="false" customHeight="false" outlineLevel="0" collapsed="false">
      <c r="A2" s="2" t="s">
        <v>267</v>
      </c>
    </row>
    <row r="4" customFormat="false" ht="30" hidden="false" customHeight="true" outlineLevel="0" collapsed="false">
      <c r="A4" s="8" t="s">
        <v>268</v>
      </c>
      <c r="B4" s="8" t="s">
        <v>269</v>
      </c>
      <c r="C4" s="8" t="s">
        <v>270</v>
      </c>
      <c r="D4" s="8" t="s">
        <v>271</v>
      </c>
      <c r="E4" s="8" t="s">
        <v>272</v>
      </c>
    </row>
    <row r="5" customFormat="false" ht="15" hidden="false" customHeight="false" outlineLevel="0" collapsed="false">
      <c r="A5" s="22" t="s">
        <v>273</v>
      </c>
      <c r="B5" s="23" t="s">
        <v>274</v>
      </c>
      <c r="C5" s="24" t="s">
        <v>275</v>
      </c>
      <c r="D5" s="25" t="n">
        <f aca="false">COUNTIF('Track Tags'!$C$5:$C$36,"*"&amp;B5&amp;"*")</f>
        <v>2</v>
      </c>
      <c r="E5" s="26" t="n">
        <f aca="false">IFERROR(D5/COUNTA('Track Tags'!$B$5:$B$36),0)</f>
        <v>0.0625</v>
      </c>
    </row>
    <row r="6" customFormat="false" ht="15" hidden="false" customHeight="false" outlineLevel="0" collapsed="false">
      <c r="A6" s="22" t="s">
        <v>273</v>
      </c>
      <c r="B6" s="23" t="s">
        <v>276</v>
      </c>
      <c r="C6" s="24" t="s">
        <v>275</v>
      </c>
      <c r="D6" s="25" t="n">
        <f aca="false">COUNTIF('Track Tags'!$C$5:$C$36,"*"&amp;B6&amp;"*")</f>
        <v>5</v>
      </c>
      <c r="E6" s="26" t="n">
        <f aca="false">IFERROR(D6/COUNTA('Track Tags'!$B$5:$B$36),0)</f>
        <v>0.15625</v>
      </c>
    </row>
    <row r="7" customFormat="false" ht="15" hidden="false" customHeight="false" outlineLevel="0" collapsed="false">
      <c r="A7" s="22" t="s">
        <v>273</v>
      </c>
      <c r="B7" s="23" t="s">
        <v>277</v>
      </c>
      <c r="C7" s="24" t="s">
        <v>275</v>
      </c>
      <c r="D7" s="25" t="n">
        <f aca="false">COUNTIF('Track Tags'!$C$5:$C$36,"*"&amp;B7&amp;"*")</f>
        <v>19</v>
      </c>
      <c r="E7" s="26" t="n">
        <f aca="false">IFERROR(D7/COUNTA('Track Tags'!$B$5:$B$36),0)</f>
        <v>0.59375</v>
      </c>
    </row>
    <row r="8" customFormat="false" ht="15" hidden="false" customHeight="false" outlineLevel="0" collapsed="false">
      <c r="A8" s="22" t="s">
        <v>273</v>
      </c>
      <c r="B8" s="23" t="s">
        <v>278</v>
      </c>
      <c r="C8" s="24" t="s">
        <v>275</v>
      </c>
      <c r="D8" s="25" t="n">
        <f aca="false">COUNTIF('Track Tags'!$C$5:$C$36,"*"&amp;B8&amp;"*")</f>
        <v>2</v>
      </c>
      <c r="E8" s="26" t="n">
        <f aca="false">IFERROR(D8/COUNTA('Track Tags'!$B$5:$B$36),0)</f>
        <v>0.0625</v>
      </c>
    </row>
    <row r="9" customFormat="false" ht="15" hidden="false" customHeight="false" outlineLevel="0" collapsed="false">
      <c r="A9" s="22" t="s">
        <v>273</v>
      </c>
      <c r="B9" s="23" t="s">
        <v>279</v>
      </c>
      <c r="C9" s="24" t="s">
        <v>275</v>
      </c>
      <c r="D9" s="25" t="n">
        <f aca="false">COUNTIF('Track Tags'!$C$5:$C$36,"*"&amp;B9&amp;"*")</f>
        <v>19</v>
      </c>
      <c r="E9" s="26" t="n">
        <f aca="false">IFERROR(D9/COUNTA('Track Tags'!$B$5:$B$36),0)</f>
        <v>0.59375</v>
      </c>
    </row>
    <row r="10" customFormat="false" ht="15" hidden="false" customHeight="false" outlineLevel="0" collapsed="false">
      <c r="A10" s="22" t="s">
        <v>273</v>
      </c>
      <c r="B10" s="23" t="s">
        <v>280</v>
      </c>
      <c r="C10" s="24" t="s">
        <v>275</v>
      </c>
      <c r="D10" s="25" t="n">
        <f aca="false">COUNTIF('Track Tags'!$C$5:$C$36,"*"&amp;B10&amp;"*")</f>
        <v>11</v>
      </c>
      <c r="E10" s="26" t="n">
        <f aca="false">IFERROR(D10/COUNTA('Track Tags'!$B$5:$B$36),0)</f>
        <v>0.34375</v>
      </c>
    </row>
    <row r="11" customFormat="false" ht="15" hidden="false" customHeight="false" outlineLevel="0" collapsed="false">
      <c r="A11" s="22" t="s">
        <v>273</v>
      </c>
      <c r="B11" s="23" t="s">
        <v>281</v>
      </c>
      <c r="C11" s="24" t="s">
        <v>275</v>
      </c>
      <c r="D11" s="25" t="n">
        <f aca="false">COUNTIF('Track Tags'!$C$5:$C$36,"*"&amp;B11&amp;"*")</f>
        <v>8</v>
      </c>
      <c r="E11" s="26" t="n">
        <f aca="false">IFERROR(D11/COUNTA('Track Tags'!$B$5:$B$36),0)</f>
        <v>0.25</v>
      </c>
    </row>
    <row r="12" customFormat="false" ht="15" hidden="false" customHeight="false" outlineLevel="0" collapsed="false">
      <c r="A12" s="22" t="s">
        <v>273</v>
      </c>
      <c r="B12" s="23" t="s">
        <v>282</v>
      </c>
      <c r="C12" s="24" t="s">
        <v>275</v>
      </c>
      <c r="D12" s="25" t="n">
        <f aca="false">COUNTIF('Track Tags'!$C$5:$C$36,"*"&amp;B12&amp;"*")</f>
        <v>11</v>
      </c>
      <c r="E12" s="26" t="n">
        <f aca="false">IFERROR(D12/COUNTA('Track Tags'!$B$5:$B$36),0)</f>
        <v>0.34375</v>
      </c>
    </row>
    <row r="13" customFormat="false" ht="15" hidden="false" customHeight="false" outlineLevel="0" collapsed="false">
      <c r="A13" s="22" t="s">
        <v>273</v>
      </c>
      <c r="B13" s="23" t="s">
        <v>283</v>
      </c>
      <c r="C13" s="24" t="s">
        <v>275</v>
      </c>
      <c r="D13" s="25" t="n">
        <f aca="false">COUNTIF('Track Tags'!$C$5:$C$36,"*"&amp;B13&amp;"*")</f>
        <v>15</v>
      </c>
      <c r="E13" s="26" t="n">
        <f aca="false">IFERROR(D13/COUNTA('Track Tags'!$B$5:$B$36),0)</f>
        <v>0.46875</v>
      </c>
    </row>
    <row r="14" customFormat="false" ht="15" hidden="false" customHeight="false" outlineLevel="0" collapsed="false">
      <c r="A14" s="27" t="s">
        <v>284</v>
      </c>
      <c r="B14" s="23" t="s">
        <v>285</v>
      </c>
      <c r="C14" s="24" t="s">
        <v>286</v>
      </c>
      <c r="D14" s="25" t="n">
        <f aca="false">COUNTIF('Track Tags'!$D$5:$D$36,"*"&amp;B14&amp;"*")</f>
        <v>5</v>
      </c>
      <c r="E14" s="26" t="n">
        <f aca="false">IFERROR(D14/COUNTA('Track Tags'!$B$5:$B$36),0)</f>
        <v>0.15625</v>
      </c>
    </row>
    <row r="15" customFormat="false" ht="15" hidden="false" customHeight="false" outlineLevel="0" collapsed="false">
      <c r="A15" s="27" t="s">
        <v>284</v>
      </c>
      <c r="B15" s="23" t="s">
        <v>287</v>
      </c>
      <c r="C15" s="24" t="s">
        <v>286</v>
      </c>
      <c r="D15" s="25" t="n">
        <f aca="false">COUNTIF('Track Tags'!$D$5:$D$36,"*"&amp;B15&amp;"*")</f>
        <v>6</v>
      </c>
      <c r="E15" s="26" t="n">
        <f aca="false">IFERROR(D15/COUNTA('Track Tags'!$B$5:$B$36),0)</f>
        <v>0.1875</v>
      </c>
    </row>
    <row r="16" customFormat="false" ht="15" hidden="false" customHeight="false" outlineLevel="0" collapsed="false">
      <c r="A16" s="27" t="s">
        <v>284</v>
      </c>
      <c r="B16" s="23" t="s">
        <v>288</v>
      </c>
      <c r="C16" s="24" t="s">
        <v>286</v>
      </c>
      <c r="D16" s="25" t="n">
        <f aca="false">COUNTIF('Track Tags'!$D$5:$D$36,"*"&amp;B16&amp;"*")</f>
        <v>11</v>
      </c>
      <c r="E16" s="26" t="n">
        <f aca="false">IFERROR(D16/COUNTA('Track Tags'!$B$5:$B$36),0)</f>
        <v>0.34375</v>
      </c>
    </row>
    <row r="17" customFormat="false" ht="15" hidden="false" customHeight="false" outlineLevel="0" collapsed="false">
      <c r="A17" s="27" t="s">
        <v>284</v>
      </c>
      <c r="B17" s="23" t="s">
        <v>289</v>
      </c>
      <c r="C17" s="24" t="s">
        <v>286</v>
      </c>
      <c r="D17" s="25" t="n">
        <f aca="false">COUNTIF('Track Tags'!$D$5:$D$36,"*"&amp;B17&amp;"*")</f>
        <v>7</v>
      </c>
      <c r="E17" s="26" t="n">
        <f aca="false">IFERROR(D17/COUNTA('Track Tags'!$B$5:$B$36),0)</f>
        <v>0.21875</v>
      </c>
    </row>
    <row r="18" customFormat="false" ht="15" hidden="false" customHeight="false" outlineLevel="0" collapsed="false">
      <c r="A18" s="27" t="s">
        <v>284</v>
      </c>
      <c r="B18" s="23" t="s">
        <v>290</v>
      </c>
      <c r="C18" s="24" t="s">
        <v>286</v>
      </c>
      <c r="D18" s="25" t="n">
        <f aca="false">COUNTIF('Track Tags'!$D$5:$D$36,"*"&amp;B18&amp;"*")</f>
        <v>8</v>
      </c>
      <c r="E18" s="26" t="n">
        <f aca="false">IFERROR(D18/COUNTA('Track Tags'!$B$5:$B$36),0)</f>
        <v>0.25</v>
      </c>
    </row>
    <row r="19" customFormat="false" ht="15" hidden="false" customHeight="false" outlineLevel="0" collapsed="false">
      <c r="A19" s="27" t="s">
        <v>284</v>
      </c>
      <c r="B19" s="23" t="s">
        <v>291</v>
      </c>
      <c r="C19" s="24" t="s">
        <v>286</v>
      </c>
      <c r="D19" s="25" t="n">
        <f aca="false">COUNTIF('Track Tags'!$D$5:$D$36,"*"&amp;B19&amp;"*")</f>
        <v>14</v>
      </c>
      <c r="E19" s="26" t="n">
        <f aca="false">IFERROR(D19/COUNTA('Track Tags'!$B$5:$B$36),0)</f>
        <v>0.4375</v>
      </c>
    </row>
    <row r="20" customFormat="false" ht="15" hidden="false" customHeight="false" outlineLevel="0" collapsed="false">
      <c r="A20" s="27" t="s">
        <v>284</v>
      </c>
      <c r="B20" s="23" t="s">
        <v>292</v>
      </c>
      <c r="C20" s="24" t="s">
        <v>286</v>
      </c>
      <c r="D20" s="25" t="n">
        <f aca="false">COUNTIF('Track Tags'!$D$5:$D$36,"*"&amp;B20&amp;"*")</f>
        <v>9</v>
      </c>
      <c r="E20" s="26" t="n">
        <f aca="false">IFERROR(D20/COUNTA('Track Tags'!$B$5:$B$36),0)</f>
        <v>0.28125</v>
      </c>
    </row>
    <row r="21" customFormat="false" ht="15" hidden="false" customHeight="false" outlineLevel="0" collapsed="false">
      <c r="A21" s="27" t="s">
        <v>284</v>
      </c>
      <c r="B21" s="23" t="s">
        <v>293</v>
      </c>
      <c r="C21" s="24" t="s">
        <v>286</v>
      </c>
      <c r="D21" s="25" t="n">
        <f aca="false">COUNTIF('Track Tags'!$D$5:$D$36,"*"&amp;B21&amp;"*")</f>
        <v>3</v>
      </c>
      <c r="E21" s="26" t="n">
        <f aca="false">IFERROR(D21/COUNTA('Track Tags'!$B$5:$B$36),0)</f>
        <v>0.09375</v>
      </c>
    </row>
    <row r="22" customFormat="false" ht="15" hidden="false" customHeight="false" outlineLevel="0" collapsed="false">
      <c r="A22" s="27" t="s">
        <v>284</v>
      </c>
      <c r="B22" s="23" t="s">
        <v>294</v>
      </c>
      <c r="C22" s="24" t="s">
        <v>286</v>
      </c>
      <c r="D22" s="25" t="n">
        <f aca="false">COUNTIF('Track Tags'!$D$5:$D$36,"*"&amp;B22&amp;"*")</f>
        <v>8</v>
      </c>
      <c r="E22" s="26" t="n">
        <f aca="false">IFERROR(D22/COUNTA('Track Tags'!$B$5:$B$36),0)</f>
        <v>0.25</v>
      </c>
    </row>
    <row r="23" customFormat="false" ht="15" hidden="false" customHeight="false" outlineLevel="0" collapsed="false">
      <c r="A23" s="27" t="s">
        <v>284</v>
      </c>
      <c r="B23" s="23" t="s">
        <v>295</v>
      </c>
      <c r="C23" s="24" t="s">
        <v>286</v>
      </c>
      <c r="D23" s="25" t="n">
        <f aca="false">COUNTIF('Track Tags'!$D$5:$D$36,"*"&amp;B23&amp;"*")</f>
        <v>13</v>
      </c>
      <c r="E23" s="26" t="n">
        <f aca="false">IFERROR(D23/COUNTA('Track Tags'!$B$5:$B$36),0)</f>
        <v>0.40625</v>
      </c>
    </row>
    <row r="24" customFormat="false" ht="15" hidden="false" customHeight="false" outlineLevel="0" collapsed="false">
      <c r="A24" s="27" t="s">
        <v>284</v>
      </c>
      <c r="B24" s="23" t="s">
        <v>296</v>
      </c>
      <c r="C24" s="24" t="s">
        <v>286</v>
      </c>
      <c r="D24" s="25" t="n">
        <f aca="false">COUNTIF('Track Tags'!$D$5:$D$36,"*"&amp;B24&amp;"*")</f>
        <v>7</v>
      </c>
      <c r="E24" s="26" t="n">
        <f aca="false">IFERROR(D24/COUNTA('Track Tags'!$B$5:$B$36),0)</f>
        <v>0.21875</v>
      </c>
    </row>
    <row r="25" customFormat="false" ht="15" hidden="false" customHeight="false" outlineLevel="0" collapsed="false">
      <c r="A25" s="28" t="s">
        <v>297</v>
      </c>
      <c r="B25" s="23" t="s">
        <v>58</v>
      </c>
      <c r="C25" s="24" t="s">
        <v>298</v>
      </c>
      <c r="D25" s="25" t="n">
        <f aca="false">COUNTIF('Track Tags'!$E$5:$E$36,"*"&amp;B25&amp;"*")</f>
        <v>16</v>
      </c>
      <c r="E25" s="26" t="n">
        <f aca="false">IFERROR(D25/COUNTA('Track Tags'!$B$5:$B$36),0)</f>
        <v>0.5</v>
      </c>
    </row>
    <row r="26" customFormat="false" ht="15" hidden="false" customHeight="false" outlineLevel="0" collapsed="false">
      <c r="A26" s="28" t="s">
        <v>297</v>
      </c>
      <c r="B26" s="23" t="s">
        <v>299</v>
      </c>
      <c r="C26" s="24" t="s">
        <v>298</v>
      </c>
      <c r="D26" s="25" t="n">
        <f aca="false">COUNTIF('Track Tags'!$E$5:$E$36,"*"&amp;B26&amp;"*")</f>
        <v>9</v>
      </c>
      <c r="E26" s="26" t="n">
        <f aca="false">IFERROR(D26/COUNTA('Track Tags'!$B$5:$B$36),0)</f>
        <v>0.28125</v>
      </c>
    </row>
    <row r="27" customFormat="false" ht="15" hidden="false" customHeight="false" outlineLevel="0" collapsed="false">
      <c r="A27" s="28" t="s">
        <v>297</v>
      </c>
      <c r="B27" s="23" t="s">
        <v>91</v>
      </c>
      <c r="C27" s="24" t="s">
        <v>298</v>
      </c>
      <c r="D27" s="25" t="n">
        <f aca="false">COUNTIF('Track Tags'!$E$5:$E$36,"*"&amp;B27&amp;"*")</f>
        <v>15</v>
      </c>
      <c r="E27" s="26" t="n">
        <f aca="false">IFERROR(D27/COUNTA('Track Tags'!$B$5:$B$36),0)</f>
        <v>0.46875</v>
      </c>
    </row>
    <row r="28" customFormat="false" ht="15" hidden="false" customHeight="false" outlineLevel="0" collapsed="false">
      <c r="A28" s="28" t="s">
        <v>297</v>
      </c>
      <c r="B28" s="23" t="s">
        <v>232</v>
      </c>
      <c r="C28" s="24" t="s">
        <v>298</v>
      </c>
      <c r="D28" s="25" t="n">
        <f aca="false">COUNTIF('Track Tags'!$E$5:$E$36,"*"&amp;B28&amp;"*")</f>
        <v>19</v>
      </c>
      <c r="E28" s="26" t="n">
        <f aca="false">IFERROR(D28/COUNTA('Track Tags'!$B$5:$B$36),0)</f>
        <v>0.59375</v>
      </c>
    </row>
    <row r="29" customFormat="false" ht="15" hidden="false" customHeight="false" outlineLevel="0" collapsed="false">
      <c r="A29" s="29" t="s">
        <v>300</v>
      </c>
      <c r="B29" s="23" t="s">
        <v>301</v>
      </c>
      <c r="C29" s="24" t="s">
        <v>302</v>
      </c>
      <c r="D29" s="25" t="n">
        <f aca="false">COUNTIF('Track Tags'!$F$5:$F$36,"*"&amp;B29&amp;"*")</f>
        <v>13</v>
      </c>
      <c r="E29" s="26" t="n">
        <f aca="false">IFERROR(D29/COUNTA('Track Tags'!$B$5:$B$36),0)</f>
        <v>0.40625</v>
      </c>
    </row>
    <row r="30" customFormat="false" ht="15" hidden="false" customHeight="false" outlineLevel="0" collapsed="false">
      <c r="A30" s="29" t="s">
        <v>300</v>
      </c>
      <c r="B30" s="23" t="s">
        <v>303</v>
      </c>
      <c r="C30" s="24" t="s">
        <v>302</v>
      </c>
      <c r="D30" s="25" t="n">
        <f aca="false">COUNTIF('Track Tags'!$F$5:$F$36,"*"&amp;B30&amp;"*")</f>
        <v>17</v>
      </c>
      <c r="E30" s="26" t="n">
        <f aca="false">IFERROR(D30/COUNTA('Track Tags'!$B$5:$B$36),0)</f>
        <v>0.53125</v>
      </c>
    </row>
    <row r="31" customFormat="false" ht="15" hidden="false" customHeight="false" outlineLevel="0" collapsed="false">
      <c r="A31" s="29" t="s">
        <v>300</v>
      </c>
      <c r="B31" s="23" t="s">
        <v>304</v>
      </c>
      <c r="C31" s="24" t="s">
        <v>302</v>
      </c>
      <c r="D31" s="25" t="n">
        <f aca="false">COUNTIF('Track Tags'!$F$5:$F$36,"*"&amp;B31&amp;"*")</f>
        <v>11</v>
      </c>
      <c r="E31" s="26" t="n">
        <f aca="false">IFERROR(D31/COUNTA('Track Tags'!$B$5:$B$36),0)</f>
        <v>0.34375</v>
      </c>
    </row>
    <row r="32" customFormat="false" ht="15" hidden="false" customHeight="false" outlineLevel="0" collapsed="false">
      <c r="A32" s="29" t="s">
        <v>300</v>
      </c>
      <c r="B32" s="23" t="s">
        <v>305</v>
      </c>
      <c r="C32" s="24" t="s">
        <v>302</v>
      </c>
      <c r="D32" s="25" t="n">
        <f aca="false">COUNTIF('Track Tags'!$F$5:$F$36,"*"&amp;B32&amp;"*")</f>
        <v>11</v>
      </c>
      <c r="E32" s="26" t="n">
        <f aca="false">IFERROR(D32/COUNTA('Track Tags'!$B$5:$B$36),0)</f>
        <v>0.34375</v>
      </c>
    </row>
    <row r="33" customFormat="false" ht="15" hidden="false" customHeight="false" outlineLevel="0" collapsed="false">
      <c r="A33" s="29" t="s">
        <v>300</v>
      </c>
      <c r="B33" s="23" t="s">
        <v>306</v>
      </c>
      <c r="C33" s="24" t="s">
        <v>302</v>
      </c>
      <c r="D33" s="25" t="n">
        <f aca="false">COUNTIF('Track Tags'!$F$5:$F$36,"*"&amp;B33&amp;"*")</f>
        <v>7</v>
      </c>
      <c r="E33" s="26" t="n">
        <f aca="false">IFERROR(D33/COUNTA('Track Tags'!$B$5:$B$36),0)</f>
        <v>0.21875</v>
      </c>
    </row>
    <row r="34" customFormat="false" ht="15" hidden="false" customHeight="false" outlineLevel="0" collapsed="false">
      <c r="A34" s="29" t="s">
        <v>300</v>
      </c>
      <c r="B34" s="23" t="s">
        <v>307</v>
      </c>
      <c r="C34" s="24" t="s">
        <v>302</v>
      </c>
      <c r="D34" s="25" t="n">
        <f aca="false">COUNTIF('Track Tags'!$F$5:$F$36,"*"&amp;B34&amp;"*")</f>
        <v>11</v>
      </c>
      <c r="E34" s="26" t="n">
        <f aca="false">IFERROR(D34/COUNTA('Track Tags'!$B$5:$B$36),0)</f>
        <v>0.34375</v>
      </c>
    </row>
    <row r="35" customFormat="false" ht="15" hidden="false" customHeight="false" outlineLevel="0" collapsed="false">
      <c r="A35" s="29" t="s">
        <v>300</v>
      </c>
      <c r="B35" s="23" t="s">
        <v>308</v>
      </c>
      <c r="C35" s="24" t="s">
        <v>302</v>
      </c>
      <c r="D35" s="25" t="n">
        <f aca="false">COUNTIF('Track Tags'!$F$5:$F$36,"*"&amp;B35&amp;"*")</f>
        <v>13</v>
      </c>
      <c r="E35" s="26" t="n">
        <f aca="false">IFERROR(D35/COUNTA('Track Tags'!$B$5:$B$36),0)</f>
        <v>0.40625</v>
      </c>
    </row>
    <row r="36" customFormat="false" ht="15" hidden="false" customHeight="false" outlineLevel="0" collapsed="false">
      <c r="A36" s="29" t="s">
        <v>300</v>
      </c>
      <c r="B36" s="23" t="s">
        <v>309</v>
      </c>
      <c r="C36" s="24" t="s">
        <v>302</v>
      </c>
      <c r="D36" s="25" t="n">
        <f aca="false">COUNTIF('Track Tags'!$F$5:$F$36,"*"&amp;B36&amp;"*")</f>
        <v>5</v>
      </c>
      <c r="E36" s="26" t="n">
        <f aca="false">IFERROR(D36/COUNTA('Track Tags'!$B$5:$B$36),0)</f>
        <v>0.15625</v>
      </c>
    </row>
    <row r="37" customFormat="false" ht="15" hidden="false" customHeight="false" outlineLevel="0" collapsed="false">
      <c r="A37" s="30" t="s">
        <v>310</v>
      </c>
      <c r="B37" s="23" t="s">
        <v>311</v>
      </c>
      <c r="C37" s="24" t="s">
        <v>312</v>
      </c>
      <c r="D37" s="25" t="n">
        <f aca="false">COUNTIF('Track Tags'!$G$5:$G$36,"*"&amp;B37&amp;"*")</f>
        <v>7</v>
      </c>
      <c r="E37" s="26" t="n">
        <f aca="false">IFERROR(D37/COUNTA('Track Tags'!$B$5:$B$36),0)</f>
        <v>0.21875</v>
      </c>
    </row>
    <row r="38" customFormat="false" ht="15" hidden="false" customHeight="false" outlineLevel="0" collapsed="false">
      <c r="A38" s="30" t="s">
        <v>310</v>
      </c>
      <c r="B38" s="23" t="s">
        <v>313</v>
      </c>
      <c r="C38" s="24" t="s">
        <v>312</v>
      </c>
      <c r="D38" s="25" t="n">
        <f aca="false">COUNTIF('Track Tags'!$G$5:$G$36,"*"&amp;B38&amp;"*")</f>
        <v>6</v>
      </c>
      <c r="E38" s="26" t="n">
        <f aca="false">IFERROR(D38/COUNTA('Track Tags'!$B$5:$B$36),0)</f>
        <v>0.1875</v>
      </c>
    </row>
    <row r="39" customFormat="false" ht="15" hidden="false" customHeight="false" outlineLevel="0" collapsed="false">
      <c r="A39" s="30" t="s">
        <v>310</v>
      </c>
      <c r="B39" s="23" t="s">
        <v>314</v>
      </c>
      <c r="C39" s="24" t="s">
        <v>312</v>
      </c>
      <c r="D39" s="25" t="n">
        <f aca="false">COUNTIF('Track Tags'!$G$5:$G$36,"*"&amp;B39&amp;"*")</f>
        <v>15</v>
      </c>
      <c r="E39" s="26" t="n">
        <f aca="false">IFERROR(D39/COUNTA('Track Tags'!$B$5:$B$36),0)</f>
        <v>0.46875</v>
      </c>
    </row>
    <row r="40" customFormat="false" ht="15" hidden="false" customHeight="false" outlineLevel="0" collapsed="false">
      <c r="A40" s="30" t="s">
        <v>310</v>
      </c>
      <c r="B40" s="23" t="s">
        <v>315</v>
      </c>
      <c r="C40" s="24" t="s">
        <v>312</v>
      </c>
      <c r="D40" s="25" t="n">
        <f aca="false">COUNTIF('Track Tags'!$G$5:$G$36,"*"&amp;B40&amp;"*")</f>
        <v>7</v>
      </c>
      <c r="E40" s="26" t="n">
        <f aca="false">IFERROR(D40/COUNTA('Track Tags'!$B$5:$B$36),0)</f>
        <v>0.21875</v>
      </c>
    </row>
    <row r="41" customFormat="false" ht="15" hidden="false" customHeight="false" outlineLevel="0" collapsed="false">
      <c r="A41" s="30" t="s">
        <v>310</v>
      </c>
      <c r="B41" s="23" t="s">
        <v>316</v>
      </c>
      <c r="C41" s="24" t="s">
        <v>312</v>
      </c>
      <c r="D41" s="25" t="n">
        <f aca="false">COUNTIF('Track Tags'!$G$5:$G$36,"*"&amp;B41&amp;"*")</f>
        <v>17</v>
      </c>
      <c r="E41" s="26" t="n">
        <f aca="false">IFERROR(D41/COUNTA('Track Tags'!$B$5:$B$36),0)</f>
        <v>0.53125</v>
      </c>
    </row>
    <row r="42" customFormat="false" ht="15" hidden="false" customHeight="false" outlineLevel="0" collapsed="false">
      <c r="A42" s="30" t="s">
        <v>310</v>
      </c>
      <c r="B42" s="23" t="s">
        <v>317</v>
      </c>
      <c r="C42" s="24" t="s">
        <v>312</v>
      </c>
      <c r="D42" s="25" t="n">
        <f aca="false">COUNTIF('Track Tags'!$G$5:$G$36,"*"&amp;B42&amp;"*")</f>
        <v>2</v>
      </c>
      <c r="E42" s="26" t="n">
        <f aca="false">IFERROR(D42/COUNTA('Track Tags'!$B$5:$B$36),0)</f>
        <v>0.0625</v>
      </c>
    </row>
    <row r="43" customFormat="false" ht="15" hidden="false" customHeight="false" outlineLevel="0" collapsed="false">
      <c r="A43" s="30" t="s">
        <v>310</v>
      </c>
      <c r="B43" s="23" t="s">
        <v>318</v>
      </c>
      <c r="C43" s="24" t="s">
        <v>312</v>
      </c>
      <c r="D43" s="25" t="n">
        <f aca="false">COUNTIF('Track Tags'!$G$5:$G$36,"*"&amp;B43&amp;"*")</f>
        <v>4</v>
      </c>
      <c r="E43" s="26" t="n">
        <f aca="false">IFERROR(D43/COUNTA('Track Tags'!$B$5:$B$36),0)</f>
        <v>0.125</v>
      </c>
    </row>
    <row r="44" customFormat="false" ht="15" hidden="false" customHeight="false" outlineLevel="0" collapsed="false">
      <c r="A44" s="30" t="s">
        <v>310</v>
      </c>
      <c r="B44" s="23" t="s">
        <v>319</v>
      </c>
      <c r="C44" s="24" t="s">
        <v>312</v>
      </c>
      <c r="D44" s="25" t="n">
        <f aca="false">COUNTIF('Track Tags'!$G$5:$G$36,"*"&amp;B44&amp;"*")</f>
        <v>9</v>
      </c>
      <c r="E44" s="26" t="n">
        <f aca="false">IFERROR(D44/COUNTA('Track Tags'!$B$5:$B$36),0)</f>
        <v>0.28125</v>
      </c>
    </row>
    <row r="46" customFormat="false" ht="25.5" hidden="false" customHeight="true" outlineLevel="0" collapsed="false">
      <c r="A46" s="21" t="s">
        <v>320</v>
      </c>
      <c r="B46" s="21"/>
      <c r="C46" s="21"/>
      <c r="D46" s="21"/>
      <c r="E46" s="21"/>
    </row>
  </sheetData>
  <mergeCells count="1">
    <mergeCell ref="A46:E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112"/>
  </cols>
  <sheetData>
    <row r="1" customFormat="false" ht="19.5" hidden="false" customHeight="true" outlineLevel="0" collapsed="false">
      <c r="A1" s="1" t="s">
        <v>7</v>
      </c>
    </row>
    <row r="2" customFormat="false" ht="15" hidden="false" customHeight="false" outlineLevel="0" collapsed="false">
      <c r="A2" s="2" t="s">
        <v>321</v>
      </c>
    </row>
    <row r="4" customFormat="false" ht="15" hidden="false" customHeight="false" outlineLevel="0" collapsed="false">
      <c r="A4" s="5" t="s">
        <v>322</v>
      </c>
      <c r="B4" s="6"/>
    </row>
    <row r="5" customFormat="false" ht="51.75" hidden="false" customHeight="true" outlineLevel="0" collapsed="false">
      <c r="A5" s="7" t="s">
        <v>323</v>
      </c>
      <c r="B5" s="31" t="s">
        <v>324</v>
      </c>
    </row>
    <row r="6" customFormat="false" ht="39" hidden="false" customHeight="true" outlineLevel="0" collapsed="false">
      <c r="A6" s="7" t="s">
        <v>325</v>
      </c>
      <c r="B6" s="31" t="s">
        <v>326</v>
      </c>
    </row>
    <row r="7" customFormat="false" ht="39" hidden="false" customHeight="true" outlineLevel="0" collapsed="false">
      <c r="A7" s="7" t="s">
        <v>327</v>
      </c>
      <c r="B7" s="31" t="s">
        <v>328</v>
      </c>
    </row>
    <row r="8" customFormat="false" ht="39" hidden="false" customHeight="true" outlineLevel="0" collapsed="false">
      <c r="A8" s="7" t="s">
        <v>329</v>
      </c>
      <c r="B8" s="31" t="s">
        <v>330</v>
      </c>
    </row>
    <row r="9" customFormat="false" ht="30" hidden="false" customHeight="true" outlineLevel="0" collapsed="false">
      <c r="A9" s="7" t="s">
        <v>331</v>
      </c>
      <c r="B9" s="31" t="s">
        <v>332</v>
      </c>
    </row>
    <row r="10" customFormat="false" ht="30" hidden="false" customHeight="true" outlineLevel="0" collapsed="false">
      <c r="A10" s="7" t="s">
        <v>333</v>
      </c>
      <c r="B10" s="31" t="s">
        <v>334</v>
      </c>
    </row>
    <row r="11" customFormat="false" ht="15" hidden="false" customHeight="false" outlineLevel="0" collapsed="false">
      <c r="A11" s="7"/>
      <c r="B11" s="4"/>
    </row>
    <row r="12" customFormat="false" ht="15" hidden="false" customHeight="false" outlineLevel="0" collapsed="false">
      <c r="A12" s="5" t="s">
        <v>335</v>
      </c>
      <c r="B12" s="6"/>
    </row>
    <row r="13" customFormat="false" ht="39" hidden="false" customHeight="true" outlineLevel="0" collapsed="false">
      <c r="A13" s="7" t="s">
        <v>336</v>
      </c>
      <c r="B13" s="31" t="s">
        <v>337</v>
      </c>
    </row>
    <row r="14" customFormat="false" ht="30" hidden="false" customHeight="true" outlineLevel="0" collapsed="false">
      <c r="A14" s="7" t="s">
        <v>338</v>
      </c>
      <c r="B14" s="31" t="s">
        <v>339</v>
      </c>
    </row>
    <row r="15" customFormat="false" ht="30" hidden="false" customHeight="true" outlineLevel="0" collapsed="false">
      <c r="A15" s="7" t="s">
        <v>340</v>
      </c>
      <c r="B15" s="31" t="s">
        <v>341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3" min="3" style="0" width="62"/>
  </cols>
  <sheetData>
    <row r="1" customFormat="false" ht="19.5" hidden="false" customHeight="true" outlineLevel="0" collapsed="false">
      <c r="A1" s="1" t="s">
        <v>9</v>
      </c>
    </row>
    <row r="2" customFormat="false" ht="15" hidden="false" customHeight="false" outlineLevel="0" collapsed="false">
      <c r="A2" s="2" t="s">
        <v>342</v>
      </c>
    </row>
    <row r="4" customFormat="false" ht="30" hidden="false" customHeight="true" outlineLevel="0" collapsed="false">
      <c r="A4" s="8" t="s">
        <v>343</v>
      </c>
      <c r="B4" s="8" t="s">
        <v>344</v>
      </c>
      <c r="C4" s="8" t="s">
        <v>345</v>
      </c>
    </row>
    <row r="5" customFormat="false" ht="15" hidden="false" customHeight="false" outlineLevel="0" collapsed="false">
      <c r="A5" s="24" t="s">
        <v>346</v>
      </c>
      <c r="B5" s="32" t="n">
        <f aca="false">COUNTA('Track Tags'!$B$5:$B$36)</f>
        <v>32</v>
      </c>
      <c r="C5" s="10" t="s">
        <v>347</v>
      </c>
    </row>
    <row r="6" customFormat="false" ht="15" hidden="false" customHeight="false" outlineLevel="0" collapsed="false">
      <c r="A6" s="24" t="s">
        <v>348</v>
      </c>
      <c r="B6" s="32" t="n">
        <f aca="false">COUNTIF('Track Tags'!$H$5:$H$36,"&gt;0")</f>
        <v>32</v>
      </c>
      <c r="C6" s="10" t="s">
        <v>349</v>
      </c>
    </row>
    <row r="7" customFormat="false" ht="15" hidden="false" customHeight="false" outlineLevel="0" collapsed="false">
      <c r="A7" s="24" t="s">
        <v>350</v>
      </c>
      <c r="B7" s="32" t="n">
        <f aca="false">COUNTIF('Track Tags'!$H$5:$H$36,0)</f>
        <v>0</v>
      </c>
      <c r="C7" s="10" t="s">
        <v>351</v>
      </c>
    </row>
    <row r="8" customFormat="false" ht="15" hidden="false" customHeight="false" outlineLevel="0" collapsed="false">
      <c r="A8" s="24" t="s">
        <v>352</v>
      </c>
      <c r="B8" s="32" t="n">
        <f aca="false">SUM('Track Tags'!$H$5:$H$36)</f>
        <v>397</v>
      </c>
      <c r="C8" s="10" t="s">
        <v>353</v>
      </c>
    </row>
    <row r="9" customFormat="false" ht="15" hidden="false" customHeight="false" outlineLevel="0" collapsed="false">
      <c r="A9" s="24" t="s">
        <v>354</v>
      </c>
      <c r="B9" s="33" t="n">
        <f aca="false">IFERROR(B8/B6,0)</f>
        <v>12.40625</v>
      </c>
      <c r="C9" s="10" t="s">
        <v>355</v>
      </c>
    </row>
    <row r="10" customFormat="false" ht="15" hidden="false" customHeight="false" outlineLevel="0" collapsed="false">
      <c r="A10" s="24" t="s">
        <v>356</v>
      </c>
      <c r="B10" s="32" t="n">
        <f aca="false">COUNTIF('Track Tags'!$I$5:$I$36,"Lyric book + workbook")</f>
        <v>21</v>
      </c>
      <c r="C10" s="10" t="s">
        <v>357</v>
      </c>
    </row>
    <row r="11" customFormat="false" ht="15" hidden="false" customHeight="false" outlineLevel="0" collapsed="false">
      <c r="A11" s="24" t="s">
        <v>102</v>
      </c>
      <c r="B11" s="32" t="n">
        <f aca="false">COUNTIF('Track Tags'!$I$5:$I$36,"Lyric book only")</f>
        <v>10</v>
      </c>
      <c r="C11" s="10" t="s">
        <v>358</v>
      </c>
    </row>
    <row r="12" customFormat="false" ht="15" hidden="false" customHeight="false" outlineLevel="0" collapsed="false">
      <c r="A12" s="24" t="s">
        <v>264</v>
      </c>
      <c r="B12" s="32" t="n">
        <f aca="false">COUNTIF('Track Tags'!$I$5:$I$36,"Author-supplied lyrics")</f>
        <v>1</v>
      </c>
      <c r="C12" s="10" t="s">
        <v>359</v>
      </c>
    </row>
    <row r="13" customFormat="false" ht="15" hidden="false" customHeight="false" outlineLevel="0" collapsed="false">
      <c r="A13" s="24" t="s">
        <v>360</v>
      </c>
      <c r="B13" s="32" t="n">
        <f aca="false">COUNTA('Tag Dictionary'!$B$5:$B$44)</f>
        <v>40</v>
      </c>
      <c r="C13" s="10" t="s">
        <v>361</v>
      </c>
    </row>
    <row r="14" customFormat="false" ht="15" hidden="false" customHeight="false" outlineLevel="0" collapsed="false">
      <c r="A14" s="24" t="s">
        <v>362</v>
      </c>
      <c r="B14" s="32" t="n">
        <f aca="false">COUNTIF('Tag Dictionary'!$D$5:$D$44,"&gt;0")</f>
        <v>40</v>
      </c>
      <c r="C14" s="10" t="s">
        <v>363</v>
      </c>
    </row>
    <row r="16" customFormat="false" ht="15" hidden="false" customHeight="false" outlineLevel="0" collapsed="false">
      <c r="A16" s="34" t="s">
        <v>364</v>
      </c>
    </row>
    <row r="17" customFormat="false" ht="15" hidden="false" customHeight="false" outlineLevel="0" collapsed="false">
      <c r="A17" s="22" t="s">
        <v>46</v>
      </c>
      <c r="B17" s="32" t="n">
        <f aca="false">SUMPRODUCT((LEN('Track Tags'!$C$5:$C$36)-LEN(SUBSTITUTE('Track Tags'!$C$5:$C$36,",","")))+((LEN('Track Tags'!$C$5:$C$36)&gt;0)*1))</f>
        <v>92</v>
      </c>
      <c r="C17" s="10" t="s">
        <v>365</v>
      </c>
    </row>
    <row r="18" customFormat="false" ht="15" hidden="false" customHeight="false" outlineLevel="0" collapsed="false">
      <c r="A18" s="27" t="s">
        <v>47</v>
      </c>
      <c r="B18" s="32" t="n">
        <f aca="false">SUMPRODUCT((LEN('Track Tags'!$D$5:$D$36)-LEN(SUBSTITUTE('Track Tags'!$D$5:$D$36,",","")))+((LEN('Track Tags'!$D$5:$D$36)&gt;0)*1))</f>
        <v>91</v>
      </c>
      <c r="C18" s="10" t="s">
        <v>366</v>
      </c>
    </row>
    <row r="19" customFormat="false" ht="15" hidden="false" customHeight="false" outlineLevel="0" collapsed="false">
      <c r="A19" s="28" t="s">
        <v>48</v>
      </c>
      <c r="B19" s="32" t="n">
        <f aca="false">SUMPRODUCT((LEN('Track Tags'!$E$5:$E$36)-LEN(SUBSTITUTE('Track Tags'!$E$5:$E$36,",","")))+((LEN('Track Tags'!$E$5:$E$36)&gt;0)*1))</f>
        <v>59</v>
      </c>
      <c r="C19" s="10" t="s">
        <v>367</v>
      </c>
    </row>
    <row r="20" customFormat="false" ht="15" hidden="false" customHeight="false" outlineLevel="0" collapsed="false">
      <c r="A20" s="29" t="s">
        <v>49</v>
      </c>
      <c r="B20" s="32" t="n">
        <f aca="false">SUMPRODUCT((LEN('Track Tags'!$F$5:$F$36)-LEN(SUBSTITUTE('Track Tags'!$F$5:$F$36,",","")))+((LEN('Track Tags'!$F$5:$F$36)&gt;0)*1))</f>
        <v>88</v>
      </c>
      <c r="C20" s="10" t="s">
        <v>368</v>
      </c>
    </row>
    <row r="21" customFormat="false" ht="15" hidden="false" customHeight="false" outlineLevel="0" collapsed="false">
      <c r="A21" s="30" t="s">
        <v>50</v>
      </c>
      <c r="B21" s="32" t="n">
        <f aca="false">SUMPRODUCT((LEN('Track Tags'!$G$5:$G$36)-LEN(SUBSTITUTE('Track Tags'!$G$5:$G$36,",","")))+((LEN('Track Tags'!$G$5:$G$36)&gt;0)*1))</f>
        <v>67</v>
      </c>
      <c r="C21" s="10"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2026-08-14T05:43:44Z</dcterms:created>
  <dc:creator>openpyxl</dc:creator>
  <dc:description/>
  <dc:language>en-US</dc:language>
  <cp:lastModifiedBy/>
  <dcterms:modified xsi:type="dcterms:W3CDTF">2026-08-14T05:43:44Z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