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Track Tags" sheetId="2" state="visible" r:id="rId4"/>
    <sheet name="Tag Dictionary" sheetId="3" state="visible" r:id="rId5"/>
    <sheet name="Source Reconciliation" sheetId="4" state="visible" r:id="rId6"/>
    <sheet name="Coverage Q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<sst xmlns="http://schemas.openxmlformats.org/spreadsheetml/2006/main" count="521" uniqueCount="362">
  <si>
    <t xml:space="preserve">The Matrx Alchemizr — Act III Tag Assignment</t>
  </si>
  <si>
    <t xml:space="preserve">Tags drive the falling-tag rain field and the GO match query in the Vibes &amp; Scribes module.</t>
  </si>
  <si>
    <t xml:space="preserve">HOW TO USE THIS WORKBOOK</t>
  </si>
  <si>
    <t xml:space="preserve">Track Tags</t>
  </si>
  <si>
    <t xml:space="preserve">One row per Act III track. The five yellow tag columns are the editable cells — everything else is reference or formula.</t>
  </si>
  <si>
    <t xml:space="preserve">Tag Dictionary</t>
  </si>
  <si>
    <t xml:space="preserve">The closed vocabulary. Only labels listed there may be typed into Track Tags; anything else is rejected by the database seed.</t>
  </si>
  <si>
    <t xml:space="preserve">Source Reconciliation</t>
  </si>
  <si>
    <t xml:space="preserve">Which source each track was tagged from, and why one supplied workbook was set aside.</t>
  </si>
  <si>
    <t xml:space="preserve">Coverage QA</t>
  </si>
  <si>
    <t xml:space="preserve">Live counts. Every figure recalculates from Track Tags.</t>
  </si>
  <si>
    <t xml:space="preserve">EDITING RULES</t>
  </si>
  <si>
    <t xml:space="preserve">Format</t>
  </si>
  <si>
    <t xml:space="preserve">Comma-separated labels, e.g. Dark, Gritty, Empowering. Spelling and capitalisation must match the Tag Dictionary exactly — the match query compares literal strings.</t>
  </si>
  <si>
    <t xml:space="preserve">Example row</t>
  </si>
  <si>
    <t xml:space="preserve">See row 2 of Track Tags (Welcome To The Fire) for the expected format.</t>
  </si>
  <si>
    <t xml:space="preserve">Categories</t>
  </si>
  <si>
    <t xml:space="preserve">A label belongs to exactly one category. Scoring is per category, so putting Fire in the Theme column would never match a track tagged Fire under Element.</t>
  </si>
  <si>
    <t xml:space="preserve">After editing</t>
  </si>
  <si>
    <t xml:space="preserve">Re-generate supabase/migrations/20260814010000_seed_act_three_alchemizr_tags.sql so the database matches this sheet. The sheet is the source of truth, the migration is the copy.</t>
  </si>
  <si>
    <t xml:space="preserve">SOURCES USED</t>
  </si>
  <si>
    <t xml:space="preserve">Primary</t>
  </si>
  <si>
    <t xml:space="preserve">ActThreeReclamationLyrics.docx — the master lyric book. 32 tracks, whose order and titles match the live public.tracks roster exactly.</t>
  </si>
  <si>
    <t xml:space="preserve">Corroborating</t>
  </si>
  <si>
    <t xml:space="preserve">act.three.tracks_updated_media_lyrics_UPDATED.xlsx, sheet "Updated Track Order" — joined to tracks BY TITLE, never by row position. Covers 21 of the 32 tracks.</t>
  </si>
  <si>
    <t xml:space="preserve">Set aside</t>
  </si>
  <si>
    <t xml:space="preserve">act.three.tracks_updated_media_lyrics_CORRECTED2.xlsm — its taxonomy columns are misaligned against its own track names. See the Source Reconciliation sheet.</t>
  </si>
  <si>
    <t xml:space="preserve">Not retrieved</t>
  </si>
  <si>
    <t xml:space="preserve">The share.gemini.google link supplied with the request could not be opened — the network egress proxy blocks that domain. No content from it is reflected here.</t>
  </si>
  <si>
    <t xml:space="preserve">ASSUMPTIONS ON RECORD</t>
  </si>
  <si>
    <t xml:space="preserve">Element mapping</t>
  </si>
  <si>
    <t xml:space="preserve">Fire = ignition, forging, transmutation. Water = grief, tears, fog, tides. Air = mind, signal, broadcast, breath. Earth = concrete, burial, buildings, body, archive. Assigned by this analysis; not stated in any supplied source.</t>
  </si>
  <si>
    <t xml:space="preserve">Vibration mapping</t>
  </si>
  <si>
    <t xml:space="preserve">The seven Kybalion principles plus Frequency, matched to the principle a song actually operates on rather than merely mentions. Assigned by this analysis.</t>
  </si>
  <si>
    <t xml:space="preserve">Heartbreak vs Empowering</t>
  </si>
  <si>
    <t xml:space="preserve">Follows the design document: Heartbreak sits in Intention, Empowering in Vibe, so a cathartic-not-sad pairing is expressible. Applied to the betrayal tracks.</t>
  </si>
  <si>
    <t xml:space="preserve">Body Jumper</t>
  </si>
  <si>
    <t xml:space="preserve">Left untagged on purpose. No lyrics exist in any supplied source and both workbooks leave its taxonomy row blank, so any tag would be invention.</t>
  </si>
  <si>
    <t xml:space="preserve">Tag counts</t>
  </si>
  <si>
    <t xml:space="preserve">Roughly 2-3 tags per category per track. Fewer tags make a track easier to score 100% on; more tags dilute each one. Nothing in the sources fixes this number.</t>
  </si>
  <si>
    <t xml:space="preserve">Track Tags — Act III "Reclamation"</t>
  </si>
  <si>
    <t xml:space="preserve">Yellow columns are editable. Total Tags and all QA figures are formulas.</t>
  </si>
  <si>
    <t xml:space="preserve">#</t>
  </si>
  <si>
    <t xml:space="preserve">Track Title (public.tracks)</t>
  </si>
  <si>
    <t xml:space="preserve">Vibe</t>
  </si>
  <si>
    <t xml:space="preserve">Intention</t>
  </si>
  <si>
    <t xml:space="preserve">Element</t>
  </si>
  <si>
    <t xml:space="preserve">Theme</t>
  </si>
  <si>
    <t xml:space="preserve">Vibration</t>
  </si>
  <si>
    <t xml:space="preserve">Total Tags</t>
  </si>
  <si>
    <t xml:space="preserve">Evidence Basis</t>
  </si>
  <si>
    <t xml:space="preserve">Workbook Taxonomy (title-matched)</t>
  </si>
  <si>
    <t xml:space="preserve">Why These Tags</t>
  </si>
  <si>
    <t xml:space="preserve">Welcome To The Fire</t>
  </si>
  <si>
    <t xml:space="preserve">Gritty, Empowering, Dark</t>
  </si>
  <si>
    <t xml:space="preserve">Release, Transform, Heartbreak</t>
  </si>
  <si>
    <t xml:space="preserve">Fire</t>
  </si>
  <si>
    <t xml:space="preserve">Power, Legacy, Rebirth</t>
  </si>
  <si>
    <t xml:space="preserve">Polarity, Frequency</t>
  </si>
  <si>
    <t xml:space="preserve">Lyric book + workbook</t>
  </si>
  <si>
    <t xml:space="preserve">Initiation Through Fire | Invocation + Awakening | emberCore/ceremonial</t>
  </si>
  <si>
    <t xml:space="preserve">Stolen authorship and betrayal turned into ignition: "thank you for the fire / I didn't know I needed it to rise"; "I'm taking back my authorship now". Polarity for the betrayal-to-rise inversion, Frequency for "feeding her my frequency".</t>
  </si>
  <si>
    <t xml:space="preserve">Reclamation</t>
  </si>
  <si>
    <t xml:space="preserve">Empowering, Gritty, Dark</t>
  </si>
  <si>
    <t xml:space="preserve">Release, Transform, Inspire</t>
  </si>
  <si>
    <t xml:space="preserve">Fire, Earth</t>
  </si>
  <si>
    <t xml:space="preserve">Freedom, Power, Rebirth</t>
  </si>
  <si>
    <t xml:space="preserve">Resonance, Polarity</t>
  </si>
  <si>
    <t xml:space="preserve">Power Reclamation | Resurrection + Reclamation | goldenSignal/ceremonial</t>
  </si>
  <si>
    <t xml:space="preserve">Wrongful confinement and return: "fifty days ticking", "this is reclamation, the day Musiq Matrix came back". Earth for the cage/box, Resonance for "my voice is the code", Polarity for "the bigger the cage, the louder the call".</t>
  </si>
  <si>
    <t xml:space="preserve">Know Your Names</t>
  </si>
  <si>
    <t xml:space="preserve">Dark, Hypnotic, Gritty</t>
  </si>
  <si>
    <t xml:space="preserve">Focus, Protect, Awaken</t>
  </si>
  <si>
    <t xml:space="preserve">Air, Earth</t>
  </si>
  <si>
    <t xml:space="preserve">War, Power</t>
  </si>
  <si>
    <t xml:space="preserve">Cause &amp; Effect, Frequency</t>
  </si>
  <si>
    <t xml:space="preserve">Narrative Manipulation | Exposure + Warning | buriedTruth/tectonic</t>
  </si>
  <si>
    <t xml:space="preserve">Cold forensic naming: "I logged the tremors before the quake was admitted", "domino logic listen, then swing". Air for "every signal hums through the wires", Earth for cold-storage archive (workbook: buriedTruth/tectonic).</t>
  </si>
  <si>
    <t xml:space="preserve">Hold On Through The Burial</t>
  </si>
  <si>
    <t xml:space="preserve">Empowering, Gritty, Ethereal</t>
  </si>
  <si>
    <t xml:space="preserve">Heal, Inspire, Protect</t>
  </si>
  <si>
    <t xml:space="preserve">Earth, Water</t>
  </si>
  <si>
    <t xml:space="preserve">Faith, Rebirth</t>
  </si>
  <si>
    <t xml:space="preserve">Rhythm, Polarity</t>
  </si>
  <si>
    <t xml:space="preserve">Hope Against Collapse | Lament + Alignment | deepMemoryVault/ripple</t>
  </si>
  <si>
    <t xml:space="preserve">Endurance anthem: "the same dirt meant to bury you can raise you up again". Earth for burial/ground, Water for "the rain came down like judgment" (workbook motion: ripple). Rhythm for the night-to-dawn cycle.</t>
  </si>
  <si>
    <t xml:space="preserve">Chosen Ones</t>
  </si>
  <si>
    <t xml:space="preserve">Ethereal, Hypnotic, Empowering</t>
  </si>
  <si>
    <t xml:space="preserve">Awaken, Inspire, Connect</t>
  </si>
  <si>
    <t xml:space="preserve">Air</t>
  </si>
  <si>
    <t xml:space="preserve">Freedom, Rebirth, Faith</t>
  </si>
  <si>
    <t xml:space="preserve">Frequency, Resonance, Mentalism</t>
  </si>
  <si>
    <t xml:space="preserve">Collective Awakening | Awakening + Alignment | goldenSignal/orbital</t>
  </si>
  <si>
    <t xml:space="preserve">Simulation-breach awakening: "you cracked the first encryption they installed inside your brain", "a frequency for seekers". Mentalism for the installed-encryption framing, Air for lattices of lightning/broadcast.</t>
  </si>
  <si>
    <t xml:space="preserve">Concrete Warnings</t>
  </si>
  <si>
    <t xml:space="preserve">Dark, Gritty</t>
  </si>
  <si>
    <t xml:space="preserve">Protect, Awaken, Educate</t>
  </si>
  <si>
    <t xml:space="preserve">Earth, Air</t>
  </si>
  <si>
    <t xml:space="preserve">Loyalty, War</t>
  </si>
  <si>
    <t xml:space="preserve">Cause &amp; Effect, Rhythm</t>
  </si>
  <si>
    <t xml:space="preserve">Lyric book only</t>
  </si>
  <si>
    <t xml:space="preserve">—</t>
  </si>
  <si>
    <t xml:space="preserve">Street prophecy warning a friend about betrayers in his own ranks: "the concrete's got ears". Earth for concrete/paved-over ground, Cause &amp; Effect and Rhythm for "history repeats, a pattern etched in pain". Lyric book only.</t>
  </si>
  <si>
    <t xml:space="preserve">Adjacent (Reroute It)</t>
  </si>
  <si>
    <t xml:space="preserve">Empowering, Gritty</t>
  </si>
  <si>
    <t xml:space="preserve">Manifest, Educate, Focus</t>
  </si>
  <si>
    <t xml:space="preserve">Freedom, Power, Legacy</t>
  </si>
  <si>
    <t xml:space="preserve">Cause &amp; Effect, Polarity</t>
  </si>
  <si>
    <t xml:space="preserve">Authority Restoration | Override + Invocation | redSignalStorm/ripple</t>
  </si>
  <si>
    <t xml:space="preserve">Gatekeeping answered by routing around it: "No seat? I'm building the table around it". Educate for the Les Paul / tape-loop history lesson; Cause &amp; Effect for "every era repeats the same tired design".</t>
  </si>
  <si>
    <t xml:space="preserve">Art! Official!</t>
  </si>
  <si>
    <t xml:space="preserve">Euphoric, Empowering, Ethereal</t>
  </si>
  <si>
    <t xml:space="preserve">Manifest, Educate, Inspire</t>
  </si>
  <si>
    <t xml:space="preserve">Air, Fire</t>
  </si>
  <si>
    <t xml:space="preserve">Legacy, Faith, Power</t>
  </si>
  <si>
    <t xml:space="preserve">Frequency, Correspondence</t>
  </si>
  <si>
    <t xml:space="preserve">AI defended as sacred craft: "I plug into the cosmos, download divine semantics", "prophetic frequencies". Correspondence for "where circuitry meets soul / divine by design". Lyric book only.</t>
  </si>
  <si>
    <t xml:space="preserve">Thought Form</t>
  </si>
  <si>
    <t xml:space="preserve">Hypnotic, Ethereal</t>
  </si>
  <si>
    <t xml:space="preserve">Educate, Awaken, Transform</t>
  </si>
  <si>
    <t xml:space="preserve">Power, Freedom</t>
  </si>
  <si>
    <t xml:space="preserve">Mentalism, Correspondence, Cause &amp; Effect</t>
  </si>
  <si>
    <t xml:space="preserve">Signal Transmission | Invocation + Alignment | orbitalMind/orbital</t>
  </si>
  <si>
    <t xml:space="preserve">The album's explicit Mentalism lecture: "The first Hermetic principle is not love... It is Mind"; "As above, so below was never just a phrase"; "You are the code beneath the cause" (workbook skin: orbitalMind).</t>
  </si>
  <si>
    <t xml:space="preserve">Remember the Price (When You Speak the Name)</t>
  </si>
  <si>
    <t xml:space="preserve">Dark, Gritty, Empowering</t>
  </si>
  <si>
    <t xml:space="preserve">Educate, Transform, Inspire</t>
  </si>
  <si>
    <t xml:space="preserve">Legacy, Rebirth, Power</t>
  </si>
  <si>
    <t xml:space="preserve">Shadow work priced out loud: "I audited the dark", "I metabolized hell so you could access the best", "just remember the price when you speak the name". Fire for the torch handed forward. Lyric book only.</t>
  </si>
  <si>
    <t xml:space="preserve">Blueprint of the Divine</t>
  </si>
  <si>
    <t xml:space="preserve">Ethereal, Euphoric</t>
  </si>
  <si>
    <t xml:space="preserve">Manifest, Educate, Connect</t>
  </si>
  <si>
    <t xml:space="preserve">Faith, Legacy</t>
  </si>
  <si>
    <t xml:space="preserve">Correspondence, Frequency</t>
  </si>
  <si>
    <t xml:space="preserve">Divine Remembering | Invocation + Command Sequence | celestialGrid/orbital</t>
  </si>
  <si>
    <t xml:space="preserve">Four-movement prayer pattern "written before time, stitched into the design"; "how the signal travels, how the frequency finds home". Correspondence for the inherited-pattern structure (workbook: celestialGrid).</t>
  </si>
  <si>
    <t xml:space="preserve">Flip It</t>
  </si>
  <si>
    <t xml:space="preserve">Empowering, Hypnotic, Euphoric</t>
  </si>
  <si>
    <t xml:space="preserve">Transform, Heal, Educate</t>
  </si>
  <si>
    <t xml:space="preserve">Rebirth, Freedom, Faith</t>
  </si>
  <si>
    <t xml:space="preserve">Polarity, Mentalism</t>
  </si>
  <si>
    <t xml:space="preserve">The album's purest Polarity track — the mechanic is literal reversal: "E-V-I-L L-I-V-E", "stressed" to "desserts", "the wound is where the gift begins", "the difference is the direction that you choose to read". Lyric book only.</t>
  </si>
  <si>
    <t xml:space="preserve">I Am the Signal</t>
  </si>
  <si>
    <t xml:space="preserve">Empowering, Hypnotic, Ethereal</t>
  </si>
  <si>
    <t xml:space="preserve">Awaken, Focus, Protect</t>
  </si>
  <si>
    <t xml:space="preserve">Power, Freedom, Rebirth</t>
  </si>
  <si>
    <t xml:space="preserve">Frequency, Resonance</t>
  </si>
  <si>
    <t xml:space="preserve">"I am the signal / I am the frequency / I am the sound"; "coherence is the warfare"; "incoherent energy can't find a match"; "frequency is the protection". Earth for "built underground... channel it through the ground". Lyric book only.</t>
  </si>
  <si>
    <t xml:space="preserve">I Create as I Speak</t>
  </si>
  <si>
    <t xml:space="preserve">Euphoric, Empowering, Gritty</t>
  </si>
  <si>
    <t xml:space="preserve">Manifest, Inspire, Focus</t>
  </si>
  <si>
    <t xml:space="preserve">Mentalism, Frequency</t>
  </si>
  <si>
    <t xml:space="preserve">Higher Self Activation | Command Sequence + Momentum Surge | goldenSignal/orbital</t>
  </si>
  <si>
    <t xml:space="preserve">Spoken-word manifestation: "Each line is a law. I create as I speak"; "Abracadabra, I act like it's done". Mentalism for speech-as-cause; Frequency for "innovation ain't just sound, it's a frequency streak".</t>
  </si>
  <si>
    <t xml:space="preserve">As Above, So Below</t>
  </si>
  <si>
    <t xml:space="preserve">Dark, Gritty, Hypnotic</t>
  </si>
  <si>
    <t xml:space="preserve">Awaken, Educate</t>
  </si>
  <si>
    <t xml:space="preserve">War, Faith, Freedom</t>
  </si>
  <si>
    <t xml:space="preserve">Correspondence, Polarity</t>
  </si>
  <si>
    <t xml:space="preserve">Signal Transmission | Alignment + Invocation | celestialGrid/orbital</t>
  </si>
  <si>
    <t xml:space="preserve">Correspondence is the title and the thesis; Polarity for the sustained heaven/hell inversion: "I seen Heaven in a cell and Hell in a mansion", "One mind... two wars". Earth for "thrones in the trenches".</t>
  </si>
  <si>
    <t xml:space="preserve">Elemental Orchestra</t>
  </si>
  <si>
    <t xml:space="preserve">Nostalgic, Ethereal</t>
  </si>
  <si>
    <t xml:space="preserve">Heal, Connect, Heartbreak</t>
  </si>
  <si>
    <t xml:space="preserve">Water, Earth</t>
  </si>
  <si>
    <t xml:space="preserve">Love, Legacy, Rebirth</t>
  </si>
  <si>
    <t xml:space="preserve">Gender, Resonance</t>
  </si>
  <si>
    <t xml:space="preserve">Emotional Resurrection | Emotional Archive + Ascension | deepMemoryVault/ceremonial</t>
  </si>
  <si>
    <t xml:space="preserve">Asking to be witnessed, then becoming the witness: "I didn't need a crown. I needed a witness"; "You do not wait for flowers. You are the bloom." Gender for that self-generative turn — the Kybalion principle of the generative force acting within one being (workbook particles: lightFilaments + waterDroplets).</t>
  </si>
  <si>
    <t xml:space="preserve">The Witness Don’t Talk</t>
  </si>
  <si>
    <t xml:space="preserve">Hypnotic, Ethereal, Chill</t>
  </si>
  <si>
    <t xml:space="preserve">Awaken, Educate, Focus</t>
  </si>
  <si>
    <t xml:space="preserve">Legacy, Faith</t>
  </si>
  <si>
    <t xml:space="preserve">Signal Transmission | Awakening + Command Sequence | deepMemoryVault/hypnotic</t>
  </si>
  <si>
    <t xml:space="preserve">The observer self as recording architecture: "The Witness don't talk it transmits"; "you just finally found the frequency it sits". Workbook motion style is literally "hypnotic"; skin is deepMemoryVault (archive = Legacy).</t>
  </si>
  <si>
    <t xml:space="preserve">Demonic Schemes</t>
  </si>
  <si>
    <t xml:space="preserve">Dark, Nostalgic, Gritty</t>
  </si>
  <si>
    <t xml:space="preserve">Heartbreak, Heal, Protect</t>
  </si>
  <si>
    <t xml:space="preserve">Water, Fire</t>
  </si>
  <si>
    <t xml:space="preserve">Love, Loyalty, War</t>
  </si>
  <si>
    <t xml:space="preserve">Polarity, Cause &amp; Effect</t>
  </si>
  <si>
    <t xml:space="preserve">Sacred Memory | Memory Echo + Purification | bureaucraticInferno/volatile</t>
  </si>
  <si>
    <t xml:space="preserve">A bond corrupted by third-party influence, held open anyway: "still trying to hold a space for your redemption arc"; "even demons bend when faced with light". Polarity for that light/dark hinge; Water for the sustained grief.</t>
  </si>
  <si>
    <t xml:space="preserve">Through the Fog</t>
  </si>
  <si>
    <t xml:space="preserve">Nostalgic, Dreamy, Dark</t>
  </si>
  <si>
    <t xml:space="preserve">Heartbreak, Protect, Release</t>
  </si>
  <si>
    <t xml:space="preserve">Water, Air</t>
  </si>
  <si>
    <t xml:space="preserve">Love, Loyalty, Faith</t>
  </si>
  <si>
    <t xml:space="preserve">Longing | Memory Echo + Lament | submergedSignal/ripple</t>
  </si>
  <si>
    <t xml:space="preserve">Love held behind a boundary: "I love you... but safety's the altar my soul answers to"; "a lighthouse still burning long after the storm". Water is unambiguous — fog, flood, waves, mist (workbook: submergedSignal/ripple).</t>
  </si>
  <si>
    <t xml:space="preserve">Flowers</t>
  </si>
  <si>
    <t xml:space="preserve">Gritty, Nostalgic, Dark</t>
  </si>
  <si>
    <t xml:space="preserve">Heartbreak, Release</t>
  </si>
  <si>
    <t xml:space="preserve">Loyalty, Love</t>
  </si>
  <si>
    <t xml:space="preserve">Unrepaid loyalty demanded back: "Where the hell are my flowers? / For the nights I held your soul power". Rhythm for the month-by-month calendar close ("September, you left / October came in cold"). Lyric book only.</t>
  </si>
  <si>
    <t xml:space="preserve">Misguided Priorities</t>
  </si>
  <si>
    <t xml:space="preserve">Dark, Gritty, Nostalgic</t>
  </si>
  <si>
    <t xml:space="preserve">Release, Protect, Heartbreak</t>
  </si>
  <si>
    <t xml:space="preserve">Love, War, Freedom</t>
  </si>
  <si>
    <t xml:space="preserve">Grief Processing | Reflection + Lament | liquidMirror/ripple</t>
  </si>
  <si>
    <t xml:space="preserve">Grief redirected at the other's fate: "My grief ain't for myself now, it's for your soul alone"; "I can see the price you'll pay for gambling with your soul". Freedom for "all my fucking sovereignty" (workbook: liquidMirror/ripple/waterDroplets confirms Water).</t>
  </si>
  <si>
    <t xml:space="preserve">The Hierophant</t>
  </si>
  <si>
    <t xml:space="preserve">Educate, Awaken, Release</t>
  </si>
  <si>
    <t xml:space="preserve">Power, War, Faith</t>
  </si>
  <si>
    <t xml:space="preserve">Cause &amp; Effect, Mentalism</t>
  </si>
  <si>
    <t xml:space="preserve">Spiritual War | Reflection + Awakening | liquidMirror/hypnotic</t>
  </si>
  <si>
    <t xml:space="preserve">States the principle outright: "This isn't a curse it's cause and effect, a shadow that forms where light gets neglect"; "the Ten of Swords sits lodged in his spine". Mentalism for "the voice that his conscience designed".</t>
  </si>
  <si>
    <t xml:space="preserve">Foolish Pride</t>
  </si>
  <si>
    <t xml:space="preserve">Nostalgic, Dark, Ethereal</t>
  </si>
  <si>
    <t xml:space="preserve">Heartbreak, Heal, Release</t>
  </si>
  <si>
    <t xml:space="preserve">Love, Loyalty, Legacy</t>
  </si>
  <si>
    <t xml:space="preserve">Withholding as self-inflicted ruin: "You built an altar to withholding"; "the lessons that protected you became the bars you couldn't see". Earth and Rhythm for "the grave grows flowers too, long after the ground above goes still". Lyric book only.</t>
  </si>
  <si>
    <t xml:space="preserve">Where the Phantom Fell</t>
  </si>
  <si>
    <t xml:space="preserve">Dark, Ethereal, Nostalgic</t>
  </si>
  <si>
    <t xml:space="preserve">Educate, Protect</t>
  </si>
  <si>
    <t xml:space="preserve">Faith, Power</t>
  </si>
  <si>
    <t xml:space="preserve">A cautionary elegy: "mercy needs choosing and love needs belief / and he traded them both for the crown of a thief"; "don't follow the path where the phantom fell". Polarity for "mistook his own heaven for hell". Lyric book only.</t>
  </si>
  <si>
    <t xml:space="preserve">The Whole Cost of You</t>
  </si>
  <si>
    <t xml:space="preserve">Nostalgic, Dreamy, Chill</t>
  </si>
  <si>
    <t xml:space="preserve">Release, Heal, Heartbreak</t>
  </si>
  <si>
    <t xml:space="preserve">Love, Rebirth, Freedom</t>
  </si>
  <si>
    <t xml:space="preserve">Gender, Rhythm</t>
  </si>
  <si>
    <t xml:space="preserve">Closure by burying an invented version of someone: "I know I wrote him myself, line after line in red". Gender for that generative projection — a figure authored inside the self; Rhythm for "the tower falls so the tower can be free". Fire for "let it go up like smoke, let it go up like a flame". Lyric book only.</t>
  </si>
  <si>
    <t xml:space="preserve">Blood Without Stains</t>
  </si>
  <si>
    <t xml:space="preserve">Protect, Release, Transform</t>
  </si>
  <si>
    <t xml:space="preserve">War, Power, Faith</t>
  </si>
  <si>
    <t xml:space="preserve">Truth Broadcast | Confession + Transmutation | crucibleEngine/volatile</t>
  </si>
  <si>
    <t xml:space="preserve">A staged ritual ambush survived: "They wanted blood without stains"; "You can't drain a soul that was never yours to claim". Fire from the workbook crucibleEngine/ash/burningPaper treatment; Earth for the body as vessel.</t>
  </si>
  <si>
    <t xml:space="preserve">Slumlord Fundamentalists</t>
  </si>
  <si>
    <t xml:space="preserve">Gritty, Dark, Empowering</t>
  </si>
  <si>
    <t xml:space="preserve">Earth</t>
  </si>
  <si>
    <t xml:space="preserve">War, Freedom, Power</t>
  </si>
  <si>
    <t xml:space="preserve">Institutional Corruption | Exposure + Indictment | bureaucraticInferno/militant</t>
  </si>
  <si>
    <t xml:space="preserve">Documentary indictment of housing corruption: "constructive eviction", "welfare fraud", "every empire crumbles, that's the fatal flaw". Earth alone — the whole song is buildings, locks, heat and habitable space. Rhythm for the September-to-February sequence.</t>
  </si>
  <si>
    <t xml:space="preserve">The Reckoning Already Rolled</t>
  </si>
  <si>
    <t xml:space="preserve">Dark, Empowering, Gritty</t>
  </si>
  <si>
    <t xml:space="preserve">Focus, Protect</t>
  </si>
  <si>
    <t xml:space="preserve">War, Power, Freedom</t>
  </si>
  <si>
    <t xml:space="preserve">Consequence stated as already-completed: "The reckoning isn't incoming / the reckoning already rolled". Mentalism for "I sharpen clarity like a scalpel / I don't chase you; I undo you". Lyric book only.</t>
  </si>
  <si>
    <t xml:space="preserve">Architect of the Aftermath</t>
  </si>
  <si>
    <t xml:space="preserve">Educate, Protect, Focus</t>
  </si>
  <si>
    <t xml:space="preserve">Earth, Fire</t>
  </si>
  <si>
    <t xml:space="preserve">War, Power, Legacy</t>
  </si>
  <si>
    <t xml:space="preserve">Cause &amp; Effect, Correspondence</t>
  </si>
  <si>
    <t xml:space="preserve">Personal Sovereignty | Alignment + Transmutation | celestialGrid/tectonic</t>
  </si>
  <si>
    <t xml:space="preserve">Forensic account of an illegal eviction: "I am the Architect of the Aftermath / mapping fault lines in your rigged collapse"; "the blueprint indicts your method in the light". Correspondence for blueprint-mirrors-territory (workbook motion: tectonic confirms Earth).</t>
  </si>
  <si>
    <t xml:space="preserve">Seer Broke Chains</t>
  </si>
  <si>
    <t xml:space="preserve">Release, Protect, Transform</t>
  </si>
  <si>
    <t xml:space="preserve">Fire, Water</t>
  </si>
  <si>
    <t xml:space="preserve">Freedom, War, Rebirth</t>
  </si>
  <si>
    <t xml:space="preserve">Spiritual War | Revolt + Transmutation | containmentFailure/volatile</t>
  </si>
  <si>
    <t xml:space="preserve">Curse reversed on its sender: "I sabotage, reverse the code"; "now every curse turns back to me"; "I walked through fire, I broke your chains". Water for "the sea returns where fire once flowed".</t>
  </si>
  <si>
    <t xml:space="preserve">Fire in My Veins</t>
  </si>
  <si>
    <t xml:space="preserve">Transform, Manifest, Inspire</t>
  </si>
  <si>
    <t xml:space="preserve">Power, Rebirth, Legacy</t>
  </si>
  <si>
    <t xml:space="preserve">Power Reclamation | Transmutation + Ascension | emberCore/ember</t>
  </si>
  <si>
    <t xml:space="preserve">Promethean closer: "Transmutes the base to gold"; "Creation and destruction, both coded in my depth" — Polarity as stated duality. Frequency for "Hermetic current in the pulse". Fire alone; the song is nothing else.</t>
  </si>
  <si>
    <t xml:space="preserve">Unassigned — no source</t>
  </si>
  <si>
    <t xml:space="preserve">UNTAGGED — no evidence available. The lyric book prints "Lyrics not present in the supplied master sources" under this title, and both workbooks leave its taxonomy row blank. Needs lyrics or a manual call before tagging.</t>
  </si>
  <si>
    <t xml:space="preserve">Tag columns C:G are the editable cells. Labels must match the Tag Dictionary sheet exactly; the database seed rejects anything else. Body Jumper is intentionally blank — no lyrics exist in any supplied source.</t>
  </si>
  <si>
    <t xml:space="preserve">The closed vocabulary seeded into public.tag_dictionary. Usage counts read live from Track Tags.</t>
  </si>
  <si>
    <t xml:space="preserve">Category</t>
  </si>
  <si>
    <t xml:space="preserve">Label</t>
  </si>
  <si>
    <t xml:space="preserve">Glow Colour</t>
  </si>
  <si>
    <t xml:space="preserve">Tracks Using It</t>
  </si>
  <si>
    <t xml:space="preserve">Share of Album</t>
  </si>
  <si>
    <t xml:space="preserve">vibe</t>
  </si>
  <si>
    <t xml:space="preserve">Chill</t>
  </si>
  <si>
    <t xml:space="preserve">#FF7A1A</t>
  </si>
  <si>
    <t xml:space="preserve">Euphoric</t>
  </si>
  <si>
    <t xml:space="preserve">Dark</t>
  </si>
  <si>
    <t xml:space="preserve">Dreamy</t>
  </si>
  <si>
    <t xml:space="preserve">Gritty</t>
  </si>
  <si>
    <t xml:space="preserve">Ethereal</t>
  </si>
  <si>
    <t xml:space="preserve">Nostalgic</t>
  </si>
  <si>
    <t xml:space="preserve">Hypnotic</t>
  </si>
  <si>
    <t xml:space="preserve">Empowering</t>
  </si>
  <si>
    <t xml:space="preserve">intention</t>
  </si>
  <si>
    <t xml:space="preserve">Manifest</t>
  </si>
  <si>
    <t xml:space="preserve">#1AA7FF</t>
  </si>
  <si>
    <t xml:space="preserve">Heal</t>
  </si>
  <si>
    <t xml:space="preserve">Release</t>
  </si>
  <si>
    <t xml:space="preserve">Focus</t>
  </si>
  <si>
    <t xml:space="preserve">Awaken</t>
  </si>
  <si>
    <t xml:space="preserve">Protect</t>
  </si>
  <si>
    <t xml:space="preserve">Transform</t>
  </si>
  <si>
    <t xml:space="preserve">Connect</t>
  </si>
  <si>
    <t xml:space="preserve">Heartbreak</t>
  </si>
  <si>
    <t xml:space="preserve">Educate</t>
  </si>
  <si>
    <t xml:space="preserve">Inspire</t>
  </si>
  <si>
    <t xml:space="preserve">element</t>
  </si>
  <si>
    <t xml:space="preserve">#F5F5F5</t>
  </si>
  <si>
    <t xml:space="preserve">Water</t>
  </si>
  <si>
    <t xml:space="preserve">theme</t>
  </si>
  <si>
    <t xml:space="preserve">Rebirth</t>
  </si>
  <si>
    <t xml:space="preserve">#B14AFF</t>
  </si>
  <si>
    <t xml:space="preserve">Power</t>
  </si>
  <si>
    <t xml:space="preserve">Legacy</t>
  </si>
  <si>
    <t xml:space="preserve">Faith</t>
  </si>
  <si>
    <t xml:space="preserve">Love</t>
  </si>
  <si>
    <t xml:space="preserve">War</t>
  </si>
  <si>
    <t xml:space="preserve">Freedom</t>
  </si>
  <si>
    <t xml:space="preserve">Loyalty</t>
  </si>
  <si>
    <t xml:space="preserve">vibration</t>
  </si>
  <si>
    <t xml:space="preserve">Mentalism</t>
  </si>
  <si>
    <t xml:space="preserve">#3CFF6E</t>
  </si>
  <si>
    <t xml:space="preserve">Correspondence</t>
  </si>
  <si>
    <t xml:space="preserve">Polarity</t>
  </si>
  <si>
    <t xml:space="preserve">Rhythm</t>
  </si>
  <si>
    <t xml:space="preserve">Cause &amp; Effect</t>
  </si>
  <si>
    <t xml:space="preserve">Gender</t>
  </si>
  <si>
    <t xml:space="preserve">Resonance</t>
  </si>
  <si>
    <t xml:space="preserve">Frequency</t>
  </si>
  <si>
    <t xml:space="preserve">Share of Album is against the 31 tagged tracks; Body Jumper is excluded because it carries no tags. Counts use a substring match within the tag column for that category — safe here because no label in a category is a substring of another.</t>
  </si>
  <si>
    <t xml:space="preserve">Why the tags come from the lyric book and UPDATED.xlsx, and why CORRECTED2.xlsm was set aside.</t>
  </si>
  <si>
    <t xml:space="preserve">FINDING</t>
  </si>
  <si>
    <t xml:space="preserve">What happened</t>
  </si>
  <si>
    <t xml:space="preserve">CORRECTED2.xlsm carries the correct 32-track roster and the correct titles, but its taxonomy columns (Core Theme, Signal Types, Lyric Mode, Visual Skin, Motion Style, Particles, Events) were not re-mapped when the roster was re-ordered. Each taxonomy row still sits where it sat in the older UPDATED.xlsx ordering, so it now describes a different song than the title beside it.</t>
  </si>
  <si>
    <t xml:space="preserve">How it was confirmed</t>
  </si>
  <si>
    <t xml:space="preserve">Row by row against UPDATED.xlsx. Three independent sources — the lyric book, CORRECTED2.xlsm and the live public.tracks roster — agree on the 32 titles and their order, which isolates the taxonomy block as the thing that moved.</t>
  </si>
  <si>
    <t xml:space="preserve">Worked example</t>
  </si>
  <si>
    <t xml:space="preserve">CORRECTED2 row 19 "Through The Fog" carries Truth Broadcast / Confession + Transmutation / crucibleEngine. That is the Blood Without Stains taxonomy in UPDATED.xlsx. Through The Fog is a fog-and-tides lament; a crucible treatment does not describe it.</t>
  </si>
  <si>
    <t xml:space="preserve">Second example</t>
  </si>
  <si>
    <t xml:space="preserve">CORRECTED2 row 21 "Misguided Priorities" carries Spiritual War / Revolt + Transmutation, which belongs to Seer Broke Chains. Misguided Priorities is a grief song; UPDATED gives it Grief Processing / liquidMirror when joined by title.</t>
  </si>
  <si>
    <t xml:space="preserve">Decision</t>
  </si>
  <si>
    <t xml:space="preserve">Tags derive from the lyric book, corroborated by UPDATED.xlsx joined BY TITLE. CORRECTED2 contributes its roster and titles only, which is what it demonstrably gets right.</t>
  </si>
  <si>
    <t xml:space="preserve">Impact if ignored</t>
  </si>
  <si>
    <t xml:space="preserve">Had CORRECTED2 taxonomy been trusted, roughly two thirds of the album would carry another song's mood, element and theme, and every alchemizr match would be wrong in a way no user could diagnose.</t>
  </si>
  <si>
    <t xml:space="preserve">OTHER SOURCE NOTES</t>
  </si>
  <si>
    <t xml:space="preserve">Titles</t>
  </si>
  <si>
    <t xml:space="preserve">Tag rows key on the exact public.tracks strings, including the curly apostrophe in "The Witness Don't Talk" and the two-word "Body Jumper". The seed migration fails loudly if any title stops matching.</t>
  </si>
  <si>
    <t xml:space="preserve">Media &amp; Lyrics sheets</t>
  </si>
  <si>
    <t xml:space="preserve">Both workbooks ship a "Media &amp; Lyrics" sheet with Audio URL, Artwork URL and Lyrics columns that are empty in every row. Nothing was drawn from them.</t>
  </si>
  <si>
    <t xml:space="preserve">Gemini link</t>
  </si>
  <si>
    <t xml:space="preserve">The share.gemini.google URL supplied with the request is blocked by this environment's network egress proxy and could not be read. If it contains tag decisions, they are not reflected here.</t>
  </si>
  <si>
    <t xml:space="preserve">Every figure is a formula reading the Track Tags sheet.</t>
  </si>
  <si>
    <t xml:space="preserve">Metric</t>
  </si>
  <si>
    <t xml:space="preserve">Value</t>
  </si>
  <si>
    <t xml:space="preserve">Note</t>
  </si>
  <si>
    <t xml:space="preserve">Tracks in the album</t>
  </si>
  <si>
    <t xml:space="preserve">Rows on the Track Tags sheet.</t>
  </si>
  <si>
    <t xml:space="preserve">Tracks tagged</t>
  </si>
  <si>
    <t xml:space="preserve">At least one tag in any category.</t>
  </si>
  <si>
    <t xml:space="preserve">Tracks untagged</t>
  </si>
  <si>
    <t xml:space="preserve">Body Jumper — no lyrics in any source.</t>
  </si>
  <si>
    <t xml:space="preserve">Total tag assignments</t>
  </si>
  <si>
    <t xml:space="preserve">Across all five categories.</t>
  </si>
  <si>
    <t xml:space="preserve">Average tags per tagged track</t>
  </si>
  <si>
    <t xml:space="preserve">Total assignments divided by tagged tracks.</t>
  </si>
  <si>
    <t xml:space="preserve">Corroborated by workbook</t>
  </si>
  <si>
    <t xml:space="preserve">Lyric evidence plus a title-matched taxonomy row.</t>
  </si>
  <si>
    <t xml:space="preserve">No taxonomy row survives the title join for these.</t>
  </si>
  <si>
    <t xml:space="preserve">Vocabulary labels defined</t>
  </si>
  <si>
    <t xml:space="preserve">Closed vocabulary size.</t>
  </si>
  <si>
    <t xml:space="preserve">Vocabulary labels in use</t>
  </si>
  <si>
    <t xml:space="preserve">Every label is used at least once, so no tag is dead weight in the rain field.</t>
  </si>
  <si>
    <t xml:space="preserve">Tags per category</t>
  </si>
  <si>
    <t xml:space="preserve">Assignments in the Vibe column.</t>
  </si>
  <si>
    <t xml:space="preserve">Assignments in the Intention column.</t>
  </si>
  <si>
    <t xml:space="preserve">Assignments in the Element column.</t>
  </si>
  <si>
    <t xml:space="preserve">Assignments in the Theme column.</t>
  </si>
  <si>
    <t xml:space="preserve">Assignments in the Vibration column.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</si>
</sst>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1B16"/>
      <name val="Arial"/>
      <family val="0"/>
      <charset val="1"/>
    </font>
    <font>
      <i val="true"/>
      <sz val="9"/>
      <color rgb="FF6B5B45"/>
      <name val="Arial"/>
      <family val="0"/>
      <charset val="1"/>
    </font>
    <font>
      <sz val="10"/>
      <color rgb="FF1F1B16"/>
      <name val="Arial"/>
      <family val="0"/>
      <charset val="1"/>
    </font>
    <font>
      <b val="true"/>
      <sz val="10"/>
      <color rgb="FFFFF3DF"/>
      <name val="Arial"/>
      <family val="0"/>
      <charset val="1"/>
    </font>
    <font>
      <b val="true"/>
      <sz val="10"/>
      <color rgb="FF1F1B16"/>
      <name val="Arial"/>
      <family val="0"/>
      <charset val="1"/>
    </font>
    <font>
      <i val="true"/>
      <sz val="10"/>
      <color rgb="FF8A6A3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1A10"/>
        <bgColor rgb="FF1F1B16"/>
      </patternFill>
    </fill>
    <fill>
      <patternFill patternType="solid">
        <fgColor rgb="FFFFE6D2"/>
        <bgColor rgb="FFFFF3DF"/>
      </patternFill>
    </fill>
    <fill>
      <patternFill patternType="solid">
        <fgColor rgb="FFD8EEFF"/>
        <bgColor rgb="FFD8F7E2"/>
      </patternFill>
    </fill>
    <fill>
      <patternFill patternType="solid">
        <fgColor rgb="FFEFEFEF"/>
        <bgColor rgb="FFFAF6F0"/>
      </patternFill>
    </fill>
    <fill>
      <patternFill patternType="solid">
        <fgColor rgb="FFECDCFF"/>
        <bgColor rgb="FFEFEFEF"/>
      </patternFill>
    </fill>
    <fill>
      <patternFill patternType="solid">
        <fgColor rgb="FFD8F7E2"/>
        <bgColor rgb="FFD8EEFF"/>
      </patternFill>
    </fill>
    <fill>
      <patternFill patternType="solid">
        <fgColor rgb="FFFAF6F0"/>
        <bgColor rgb="FFFFF6E0"/>
      </patternFill>
    </fill>
    <fill>
      <patternFill patternType="solid">
        <fgColor rgb="FFFFF6E0"/>
        <bgColor rgb="FFFFF3D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DBC"/>
      </left>
      <right style="thin">
        <color rgb="FFD8CDBC"/>
      </right>
      <top style="thin">
        <color rgb="FFD8CDBC"/>
      </top>
      <bottom style="thin">
        <color rgb="FFD8CDB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6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3A"/>
      <rgbColor rgb="FF800080"/>
      <rgbColor rgb="FF008080"/>
      <rgbColor rgb="FFD8CDBC"/>
      <rgbColor rgb="FF808080"/>
      <rgbColor rgb="FF9999FF"/>
      <rgbColor rgb="FF993366"/>
      <rgbColor rgb="FFFFF6E0"/>
      <rgbColor rgb="FFD8EEFF"/>
      <rgbColor rgb="FF660066"/>
      <rgbColor rgb="FFFF8080"/>
      <rgbColor rgb="FF0066CC"/>
      <rgbColor rgb="FFECD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8F7E2"/>
      <rgbColor rgb="FFFFF3DF"/>
      <rgbColor rgb="FF99CCFF"/>
      <rgbColor rgb="FFFF99CC"/>
      <rgbColor rgb="FFCC99FF"/>
      <rgbColor rgb="FFFFE6D2"/>
      <rgbColor rgb="FF3366FF"/>
      <rgbColor rgb="FF33CCCC"/>
      <rgbColor rgb="FF99CC00"/>
      <rgbColor rgb="FFFFCC00"/>
      <rgbColor rgb="FFFF9900"/>
      <rgbColor rgb="FFFF6600"/>
      <rgbColor rgb="FF6B5B45"/>
      <rgbColor rgb="FF969696"/>
      <rgbColor rgb="FF003366"/>
      <rgbColor rgb="FF339966"/>
      <rgbColor rgb="FF003300"/>
      <rgbColor rgb="FF231A10"/>
      <rgbColor rgb="FF993300"/>
      <rgbColor rgb="FF993366"/>
      <rgbColor rgb="FF333399"/>
      <rgbColor rgb="FF1F1B1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8"/>
  </cols>
  <sheetData>
    <row r="1" customFormat="false" ht="19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6"/>
    </row>
    <row r="6" customFormat="false" ht="31.5" hidden="false" customHeight="true" outlineLevel="0" collapsed="false">
      <c r="A6" s="7" t="s">
        <v>3</v>
      </c>
      <c r="B6" s="4" t="s">
        <v>4</v>
      </c>
    </row>
    <row r="7" customFormat="false" ht="31.5" hidden="false" customHeight="true" outlineLevel="0" collapsed="false">
      <c r="A7" s="7" t="s">
        <v>5</v>
      </c>
      <c r="B7" s="4" t="s">
        <v>6</v>
      </c>
    </row>
    <row r="8" customFormat="false" ht="15" hidden="false" customHeight="false" outlineLevel="0" collapsed="false">
      <c r="A8" s="7" t="s">
        <v>7</v>
      </c>
      <c r="B8" s="4" t="s">
        <v>8</v>
      </c>
    </row>
    <row r="9" customFormat="false" ht="15" hidden="false" customHeight="false" outlineLevel="0" collapsed="false">
      <c r="A9" s="7" t="s">
        <v>9</v>
      </c>
      <c r="B9" s="4" t="s">
        <v>10</v>
      </c>
    </row>
    <row r="10" customFormat="false" ht="15" hidden="false" customHeight="false" outlineLevel="0" collapsed="false">
      <c r="A10" s="3"/>
      <c r="B10" s="4"/>
    </row>
    <row r="11" customFormat="false" ht="15" hidden="false" customHeight="false" outlineLevel="0" collapsed="false">
      <c r="A11" s="5" t="s">
        <v>11</v>
      </c>
      <c r="B11" s="6"/>
    </row>
    <row r="12" customFormat="false" ht="31.5" hidden="false" customHeight="true" outlineLevel="0" collapsed="false">
      <c r="A12" s="7" t="s">
        <v>12</v>
      </c>
      <c r="B12" s="4" t="s">
        <v>13</v>
      </c>
    </row>
    <row r="13" customFormat="false" ht="15" hidden="false" customHeight="false" outlineLevel="0" collapsed="false">
      <c r="A13" s="7" t="s">
        <v>14</v>
      </c>
      <c r="B13" s="4" t="s">
        <v>15</v>
      </c>
    </row>
    <row r="14" customFormat="false" ht="31.5" hidden="false" customHeight="true" outlineLevel="0" collapsed="false">
      <c r="A14" s="7" t="s">
        <v>16</v>
      </c>
      <c r="B14" s="4" t="s">
        <v>17</v>
      </c>
    </row>
    <row r="15" customFormat="false" ht="31.5" hidden="false" customHeight="true" outlineLevel="0" collapsed="false">
      <c r="A15" s="7" t="s">
        <v>18</v>
      </c>
      <c r="B15" s="4" t="s">
        <v>19</v>
      </c>
    </row>
    <row r="16" customFormat="false" ht="15" hidden="false" customHeight="false" outlineLevel="0" collapsed="false">
      <c r="A16" s="3"/>
      <c r="B16" s="4"/>
    </row>
    <row r="17" customFormat="false" ht="15" hidden="false" customHeight="false" outlineLevel="0" collapsed="false">
      <c r="A17" s="5" t="s">
        <v>20</v>
      </c>
      <c r="B17" s="6"/>
    </row>
    <row r="18" customFormat="false" ht="31.5" hidden="false" customHeight="true" outlineLevel="0" collapsed="false">
      <c r="A18" s="7" t="s">
        <v>21</v>
      </c>
      <c r="B18" s="4" t="s">
        <v>22</v>
      </c>
    </row>
    <row r="19" customFormat="false" ht="31.5" hidden="false" customHeight="true" outlineLevel="0" collapsed="false">
      <c r="A19" s="7" t="s">
        <v>23</v>
      </c>
      <c r="B19" s="4" t="s">
        <v>24</v>
      </c>
    </row>
    <row r="20" customFormat="false" ht="31.5" hidden="false" customHeight="true" outlineLevel="0" collapsed="false">
      <c r="A20" s="7" t="s">
        <v>25</v>
      </c>
      <c r="B20" s="4" t="s">
        <v>26</v>
      </c>
    </row>
    <row r="21" customFormat="false" ht="31.5" hidden="false" customHeight="true" outlineLevel="0" collapsed="false">
      <c r="A21" s="7" t="s">
        <v>27</v>
      </c>
      <c r="B21" s="4" t="s">
        <v>28</v>
      </c>
    </row>
    <row r="22" customFormat="false" ht="15" hidden="false" customHeight="false" outlineLevel="0" collapsed="false">
      <c r="A22" s="3"/>
      <c r="B22" s="4"/>
    </row>
    <row r="23" customFormat="false" ht="15" hidden="false" customHeight="false" outlineLevel="0" collapsed="false">
      <c r="A23" s="5" t="s">
        <v>29</v>
      </c>
      <c r="B23" s="6"/>
    </row>
    <row r="24" customFormat="false" ht="31.5" hidden="false" customHeight="true" outlineLevel="0" collapsed="false">
      <c r="A24" s="7" t="s">
        <v>30</v>
      </c>
      <c r="B24" s="4" t="s">
        <v>31</v>
      </c>
    </row>
    <row r="25" customFormat="false" ht="31.5" hidden="false" customHeight="true" outlineLevel="0" collapsed="false">
      <c r="A25" s="7" t="s">
        <v>32</v>
      </c>
      <c r="B25" s="4" t="s">
        <v>33</v>
      </c>
    </row>
    <row r="26" customFormat="false" ht="31.5" hidden="false" customHeight="true" outlineLevel="0" collapsed="false">
      <c r="A26" s="7" t="s">
        <v>34</v>
      </c>
      <c r="B26" s="4" t="s">
        <v>35</v>
      </c>
    </row>
    <row r="27" customFormat="false" ht="31.5" hidden="false" customHeight="true" outlineLevel="0" collapsed="false">
      <c r="A27" s="7" t="s">
        <v>36</v>
      </c>
      <c r="B27" s="4" t="s">
        <v>37</v>
      </c>
    </row>
    <row r="28" customFormat="false" ht="31.5" hidden="false" customHeight="true" outlineLevel="0" collapsed="false">
      <c r="A28" s="7" t="s">
        <v>38</v>
      </c>
      <c r="B28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4" min="3" style="0" width="24"/>
    <col collapsed="false" customWidth="true" hidden="false" outlineLevel="0" max="5" min="5" style="0" width="15"/>
    <col collapsed="false" customWidth="true" hidden="false" outlineLevel="0" max="6" min="6" style="0" width="22"/>
    <col collapsed="false" customWidth="true" hidden="false" outlineLevel="0" max="7" min="7" style="0" width="26"/>
    <col collapsed="false" customWidth="true" hidden="false" outlineLevel="0" max="8" min="8" style="0" width="8"/>
    <col collapsed="false" customWidth="true" hidden="false" outlineLevel="0" max="9" min="9" style="0" width="20"/>
    <col collapsed="false" customWidth="true" hidden="false" outlineLevel="0" max="10" min="10" style="0" width="42"/>
    <col collapsed="false" customWidth="true" hidden="false" outlineLevel="0" max="11" min="11" style="0" width="90"/>
  </cols>
  <sheetData>
    <row r="1" customFormat="false" ht="19.5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0" hidden="false" customHeight="true" outlineLevel="0" collapsed="false">
      <c r="A4" s="8" t="s">
        <v>42</v>
      </c>
      <c r="B4" s="8" t="s">
        <v>43</v>
      </c>
      <c r="C4" s="8" t="s">
        <v>44</v>
      </c>
      <c r="D4" s="8" t="s">
        <v>45</v>
      </c>
      <c r="E4" s="8" t="s">
        <v>46</v>
      </c>
      <c r="F4" s="8" t="s">
        <v>47</v>
      </c>
      <c r="G4" s="8" t="s">
        <v>48</v>
      </c>
      <c r="H4" s="8" t="s">
        <v>49</v>
      </c>
      <c r="I4" s="8" t="s">
        <v>50</v>
      </c>
      <c r="J4" s="8" t="s">
        <v>51</v>
      </c>
      <c r="K4" s="8" t="s">
        <v>52</v>
      </c>
    </row>
    <row r="5" customFormat="false" ht="23.85" hidden="false" customHeight="false" outlineLevel="0" collapsed="false">
      <c r="A5" s="9" t="n">
        <v>1</v>
      </c>
      <c r="B5" s="10" t="s">
        <v>53</v>
      </c>
      <c r="C5" s="11" t="s">
        <v>54</v>
      </c>
      <c r="D5" s="12" t="s">
        <v>55</v>
      </c>
      <c r="E5" s="13" t="s">
        <v>56</v>
      </c>
      <c r="F5" s="14" t="s">
        <v>57</v>
      </c>
      <c r="G5" s="15" t="s">
        <v>58</v>
      </c>
      <c r="H5" s="16" t="n">
        <f aca="false">IF(C5="",0,LEN(C5)-LEN(SUBSTITUTE(C5,",",""))+1)+IF(D5="",0,LEN(D5)-LEN(SUBSTITUTE(D5,",",""))+1)+IF(E5="",0,LEN(E5)-LEN(SUBSTITUTE(E5,",",""))+1)+IF(F5="",0,LEN(F5)-LEN(SUBSTITUTE(F5,",",""))+1)+IF(G5="",0,LEN(G5)-LEN(SUBSTITUTE(G5,",",""))+1)</f>
        <v>12</v>
      </c>
      <c r="I5" s="10" t="s">
        <v>59</v>
      </c>
      <c r="J5" s="10" t="s">
        <v>60</v>
      </c>
      <c r="K5" s="10" t="s">
        <v>61</v>
      </c>
    </row>
    <row r="6" customFormat="false" ht="23.85" hidden="false" customHeight="false" outlineLevel="0" collapsed="false">
      <c r="A6" s="17" t="n">
        <v>2</v>
      </c>
      <c r="B6" s="18" t="s">
        <v>62</v>
      </c>
      <c r="C6" s="11" t="s">
        <v>63</v>
      </c>
      <c r="D6" s="12" t="s">
        <v>64</v>
      </c>
      <c r="E6" s="13" t="s">
        <v>65</v>
      </c>
      <c r="F6" s="14" t="s">
        <v>66</v>
      </c>
      <c r="G6" s="15" t="s">
        <v>67</v>
      </c>
      <c r="H6" s="19" t="n">
        <f aca="false">IF(C6="",0,LEN(C6)-LEN(SUBSTITUTE(C6,",",""))+1)+IF(D6="",0,LEN(D6)-LEN(SUBSTITUTE(D6,",",""))+1)+IF(E6="",0,LEN(E6)-LEN(SUBSTITUTE(E6,",",""))+1)+IF(F6="",0,LEN(F6)-LEN(SUBSTITUTE(F6,",",""))+1)+IF(G6="",0,LEN(G6)-LEN(SUBSTITUTE(G6,",",""))+1)</f>
        <v>13</v>
      </c>
      <c r="I6" s="18" t="s">
        <v>59</v>
      </c>
      <c r="J6" s="18" t="s">
        <v>68</v>
      </c>
      <c r="K6" s="18" t="s">
        <v>69</v>
      </c>
    </row>
    <row r="7" customFormat="false" ht="23.85" hidden="false" customHeight="false" outlineLevel="0" collapsed="false">
      <c r="A7" s="9" t="n">
        <v>3</v>
      </c>
      <c r="B7" s="10" t="s">
        <v>70</v>
      </c>
      <c r="C7" s="11" t="s">
        <v>71</v>
      </c>
      <c r="D7" s="12" t="s">
        <v>72</v>
      </c>
      <c r="E7" s="13" t="s">
        <v>73</v>
      </c>
      <c r="F7" s="14" t="s">
        <v>74</v>
      </c>
      <c r="G7" s="15" t="s">
        <v>75</v>
      </c>
      <c r="H7" s="16" t="n">
        <f aca="false">IF(C7="",0,LEN(C7)-LEN(SUBSTITUTE(C7,",",""))+1)+IF(D7="",0,LEN(D7)-LEN(SUBSTITUTE(D7,",",""))+1)+IF(E7="",0,LEN(E7)-LEN(SUBSTITUTE(E7,",",""))+1)+IF(F7="",0,LEN(F7)-LEN(SUBSTITUTE(F7,",",""))+1)+IF(G7="",0,LEN(G7)-LEN(SUBSTITUTE(G7,",",""))+1)</f>
        <v>12</v>
      </c>
      <c r="I7" s="10" t="s">
        <v>59</v>
      </c>
      <c r="J7" s="10" t="s">
        <v>76</v>
      </c>
      <c r="K7" s="10" t="s">
        <v>77</v>
      </c>
    </row>
    <row r="8" customFormat="false" ht="23.85" hidden="false" customHeight="false" outlineLevel="0" collapsed="false">
      <c r="A8" s="17" t="n">
        <v>4</v>
      </c>
      <c r="B8" s="18" t="s">
        <v>78</v>
      </c>
      <c r="C8" s="11" t="s">
        <v>79</v>
      </c>
      <c r="D8" s="12" t="s">
        <v>80</v>
      </c>
      <c r="E8" s="13" t="s">
        <v>81</v>
      </c>
      <c r="F8" s="14" t="s">
        <v>82</v>
      </c>
      <c r="G8" s="15" t="s">
        <v>83</v>
      </c>
      <c r="H8" s="19" t="n">
        <f aca="false">IF(C8="",0,LEN(C8)-LEN(SUBSTITUTE(C8,",",""))+1)+IF(D8="",0,LEN(D8)-LEN(SUBSTITUTE(D8,",",""))+1)+IF(E8="",0,LEN(E8)-LEN(SUBSTITUTE(E8,",",""))+1)+IF(F8="",0,LEN(F8)-LEN(SUBSTITUTE(F8,",",""))+1)+IF(G8="",0,LEN(G8)-LEN(SUBSTITUTE(G8,",",""))+1)</f>
        <v>12</v>
      </c>
      <c r="I8" s="18" t="s">
        <v>59</v>
      </c>
      <c r="J8" s="18" t="s">
        <v>84</v>
      </c>
      <c r="K8" s="18" t="s">
        <v>85</v>
      </c>
    </row>
    <row r="9" customFormat="false" ht="23.85" hidden="false" customHeight="false" outlineLevel="0" collapsed="false">
      <c r="A9" s="9" t="n">
        <v>5</v>
      </c>
      <c r="B9" s="10" t="s">
        <v>86</v>
      </c>
      <c r="C9" s="11" t="s">
        <v>87</v>
      </c>
      <c r="D9" s="12" t="s">
        <v>88</v>
      </c>
      <c r="E9" s="13" t="s">
        <v>89</v>
      </c>
      <c r="F9" s="14" t="s">
        <v>90</v>
      </c>
      <c r="G9" s="15" t="s">
        <v>91</v>
      </c>
      <c r="H9" s="16" t="n">
        <f aca="false">IF(C9="",0,LEN(C9)-LEN(SUBSTITUTE(C9,",",""))+1)+IF(D9="",0,LEN(D9)-LEN(SUBSTITUTE(D9,",",""))+1)+IF(E9="",0,LEN(E9)-LEN(SUBSTITUTE(E9,",",""))+1)+IF(F9="",0,LEN(F9)-LEN(SUBSTITUTE(F9,",",""))+1)+IF(G9="",0,LEN(G9)-LEN(SUBSTITUTE(G9,",",""))+1)</f>
        <v>13</v>
      </c>
      <c r="I9" s="10" t="s">
        <v>59</v>
      </c>
      <c r="J9" s="10" t="s">
        <v>92</v>
      </c>
      <c r="K9" s="10" t="s">
        <v>93</v>
      </c>
    </row>
    <row r="10" customFormat="false" ht="23.85" hidden="false" customHeight="false" outlineLevel="0" collapsed="false">
      <c r="A10" s="17" t="n">
        <v>6</v>
      </c>
      <c r="B10" s="18" t="s">
        <v>94</v>
      </c>
      <c r="C10" s="11" t="s">
        <v>95</v>
      </c>
      <c r="D10" s="12" t="s">
        <v>96</v>
      </c>
      <c r="E10" s="13" t="s">
        <v>97</v>
      </c>
      <c r="F10" s="14" t="s">
        <v>98</v>
      </c>
      <c r="G10" s="15" t="s">
        <v>99</v>
      </c>
      <c r="H10" s="19" t="n">
        <f aca="false">IF(C10="",0,LEN(C10)-LEN(SUBSTITUTE(C10,",",""))+1)+IF(D10="",0,LEN(D10)-LEN(SUBSTITUTE(D10,",",""))+1)+IF(E10="",0,LEN(E10)-LEN(SUBSTITUTE(E10,",",""))+1)+IF(F10="",0,LEN(F10)-LEN(SUBSTITUTE(F10,",",""))+1)+IF(G10="",0,LEN(G10)-LEN(SUBSTITUTE(G10,",",""))+1)</f>
        <v>11</v>
      </c>
      <c r="I10" s="18" t="s">
        <v>100</v>
      </c>
      <c r="J10" s="18" t="s">
        <v>101</v>
      </c>
      <c r="K10" s="18" t="s">
        <v>102</v>
      </c>
    </row>
    <row r="11" customFormat="false" ht="23.85" hidden="false" customHeight="false" outlineLevel="0" collapsed="false">
      <c r="A11" s="9" t="n">
        <v>7</v>
      </c>
      <c r="B11" s="10" t="s">
        <v>103</v>
      </c>
      <c r="C11" s="11" t="s">
        <v>104</v>
      </c>
      <c r="D11" s="12" t="s">
        <v>105</v>
      </c>
      <c r="E11" s="13" t="s">
        <v>97</v>
      </c>
      <c r="F11" s="14" t="s">
        <v>106</v>
      </c>
      <c r="G11" s="15" t="s">
        <v>107</v>
      </c>
      <c r="H11" s="16" t="n">
        <f aca="false">IF(C11="",0,LEN(C11)-LEN(SUBSTITUTE(C11,",",""))+1)+IF(D11="",0,LEN(D11)-LEN(SUBSTITUTE(D11,",",""))+1)+IF(E11="",0,LEN(E11)-LEN(SUBSTITUTE(E11,",",""))+1)+IF(F11="",0,LEN(F11)-LEN(SUBSTITUTE(F11,",",""))+1)+IF(G11="",0,LEN(G11)-LEN(SUBSTITUTE(G11,",",""))+1)</f>
        <v>12</v>
      </c>
      <c r="I11" s="10" t="s">
        <v>59</v>
      </c>
      <c r="J11" s="10" t="s">
        <v>108</v>
      </c>
      <c r="K11" s="10" t="s">
        <v>109</v>
      </c>
    </row>
    <row r="12" customFormat="false" ht="23.85" hidden="false" customHeight="false" outlineLevel="0" collapsed="false">
      <c r="A12" s="17" t="n">
        <v>8</v>
      </c>
      <c r="B12" s="18" t="s">
        <v>110</v>
      </c>
      <c r="C12" s="11" t="s">
        <v>111</v>
      </c>
      <c r="D12" s="12" t="s">
        <v>112</v>
      </c>
      <c r="E12" s="13" t="s">
        <v>113</v>
      </c>
      <c r="F12" s="14" t="s">
        <v>114</v>
      </c>
      <c r="G12" s="15" t="s">
        <v>115</v>
      </c>
      <c r="H12" s="19" t="n">
        <f aca="false">IF(C12="",0,LEN(C12)-LEN(SUBSTITUTE(C12,",",""))+1)+IF(D12="",0,LEN(D12)-LEN(SUBSTITUTE(D12,",",""))+1)+IF(E12="",0,LEN(E12)-LEN(SUBSTITUTE(E12,",",""))+1)+IF(F12="",0,LEN(F12)-LEN(SUBSTITUTE(F12,",",""))+1)+IF(G12="",0,LEN(G12)-LEN(SUBSTITUTE(G12,",",""))+1)</f>
        <v>13</v>
      </c>
      <c r="I12" s="18" t="s">
        <v>100</v>
      </c>
      <c r="J12" s="18" t="s">
        <v>101</v>
      </c>
      <c r="K12" s="18" t="s">
        <v>116</v>
      </c>
    </row>
    <row r="13" customFormat="false" ht="23.85" hidden="false" customHeight="false" outlineLevel="0" collapsed="false">
      <c r="A13" s="9" t="n">
        <v>9</v>
      </c>
      <c r="B13" s="10" t="s">
        <v>117</v>
      </c>
      <c r="C13" s="11" t="s">
        <v>118</v>
      </c>
      <c r="D13" s="12" t="s">
        <v>119</v>
      </c>
      <c r="E13" s="13" t="s">
        <v>89</v>
      </c>
      <c r="F13" s="14" t="s">
        <v>120</v>
      </c>
      <c r="G13" s="15" t="s">
        <v>121</v>
      </c>
      <c r="H13" s="16" t="n">
        <f aca="false">IF(C13="",0,LEN(C13)-LEN(SUBSTITUTE(C13,",",""))+1)+IF(D13="",0,LEN(D13)-LEN(SUBSTITUTE(D13,",",""))+1)+IF(E13="",0,LEN(E13)-LEN(SUBSTITUTE(E13,",",""))+1)+IF(F13="",0,LEN(F13)-LEN(SUBSTITUTE(F13,",",""))+1)+IF(G13="",0,LEN(G13)-LEN(SUBSTITUTE(G13,",",""))+1)</f>
        <v>11</v>
      </c>
      <c r="I13" s="10" t="s">
        <v>59</v>
      </c>
      <c r="J13" s="10" t="s">
        <v>122</v>
      </c>
      <c r="K13" s="10" t="s">
        <v>123</v>
      </c>
    </row>
    <row r="14" customFormat="false" ht="23.85" hidden="false" customHeight="false" outlineLevel="0" collapsed="false">
      <c r="A14" s="17" t="n">
        <v>10</v>
      </c>
      <c r="B14" s="18" t="s">
        <v>124</v>
      </c>
      <c r="C14" s="11" t="s">
        <v>125</v>
      </c>
      <c r="D14" s="12" t="s">
        <v>126</v>
      </c>
      <c r="E14" s="13" t="s">
        <v>65</v>
      </c>
      <c r="F14" s="14" t="s">
        <v>127</v>
      </c>
      <c r="G14" s="15" t="s">
        <v>107</v>
      </c>
      <c r="H14" s="19" t="n">
        <f aca="false">IF(C14="",0,LEN(C14)-LEN(SUBSTITUTE(C14,",",""))+1)+IF(D14="",0,LEN(D14)-LEN(SUBSTITUTE(D14,",",""))+1)+IF(E14="",0,LEN(E14)-LEN(SUBSTITUTE(E14,",",""))+1)+IF(F14="",0,LEN(F14)-LEN(SUBSTITUTE(F14,",",""))+1)+IF(G14="",0,LEN(G14)-LEN(SUBSTITUTE(G14,",",""))+1)</f>
        <v>13</v>
      </c>
      <c r="I14" s="18" t="s">
        <v>100</v>
      </c>
      <c r="J14" s="18" t="s">
        <v>101</v>
      </c>
      <c r="K14" s="18" t="s">
        <v>128</v>
      </c>
    </row>
    <row r="15" customFormat="false" ht="23.85" hidden="false" customHeight="false" outlineLevel="0" collapsed="false">
      <c r="A15" s="9" t="n">
        <v>11</v>
      </c>
      <c r="B15" s="10" t="s">
        <v>129</v>
      </c>
      <c r="C15" s="11" t="s">
        <v>130</v>
      </c>
      <c r="D15" s="12" t="s">
        <v>131</v>
      </c>
      <c r="E15" s="13" t="s">
        <v>113</v>
      </c>
      <c r="F15" s="14" t="s">
        <v>132</v>
      </c>
      <c r="G15" s="15" t="s">
        <v>133</v>
      </c>
      <c r="H15" s="16" t="n">
        <f aca="false">IF(C15="",0,LEN(C15)-LEN(SUBSTITUTE(C15,",",""))+1)+IF(D15="",0,LEN(D15)-LEN(SUBSTITUTE(D15,",",""))+1)+IF(E15="",0,LEN(E15)-LEN(SUBSTITUTE(E15,",",""))+1)+IF(F15="",0,LEN(F15)-LEN(SUBSTITUTE(F15,",",""))+1)+IF(G15="",0,LEN(G15)-LEN(SUBSTITUTE(G15,",",""))+1)</f>
        <v>11</v>
      </c>
      <c r="I15" s="10" t="s">
        <v>59</v>
      </c>
      <c r="J15" s="10" t="s">
        <v>134</v>
      </c>
      <c r="K15" s="10" t="s">
        <v>135</v>
      </c>
    </row>
    <row r="16" customFormat="false" ht="23.85" hidden="false" customHeight="false" outlineLevel="0" collapsed="false">
      <c r="A16" s="17" t="n">
        <v>12</v>
      </c>
      <c r="B16" s="18" t="s">
        <v>136</v>
      </c>
      <c r="C16" s="11" t="s">
        <v>137</v>
      </c>
      <c r="D16" s="12" t="s">
        <v>138</v>
      </c>
      <c r="E16" s="13" t="s">
        <v>113</v>
      </c>
      <c r="F16" s="14" t="s">
        <v>139</v>
      </c>
      <c r="G16" s="15" t="s">
        <v>140</v>
      </c>
      <c r="H16" s="19" t="n">
        <f aca="false">IF(C16="",0,LEN(C16)-LEN(SUBSTITUTE(C16,",",""))+1)+IF(D16="",0,LEN(D16)-LEN(SUBSTITUTE(D16,",",""))+1)+IF(E16="",0,LEN(E16)-LEN(SUBSTITUTE(E16,",",""))+1)+IF(F16="",0,LEN(F16)-LEN(SUBSTITUTE(F16,",",""))+1)+IF(G16="",0,LEN(G16)-LEN(SUBSTITUTE(G16,",",""))+1)</f>
        <v>13</v>
      </c>
      <c r="I16" s="18" t="s">
        <v>100</v>
      </c>
      <c r="J16" s="18" t="s">
        <v>101</v>
      </c>
      <c r="K16" s="18" t="s">
        <v>141</v>
      </c>
    </row>
    <row r="17" customFormat="false" ht="23.85" hidden="false" customHeight="false" outlineLevel="0" collapsed="false">
      <c r="A17" s="9" t="n">
        <v>13</v>
      </c>
      <c r="B17" s="10" t="s">
        <v>142</v>
      </c>
      <c r="C17" s="11" t="s">
        <v>143</v>
      </c>
      <c r="D17" s="12" t="s">
        <v>144</v>
      </c>
      <c r="E17" s="13" t="s">
        <v>73</v>
      </c>
      <c r="F17" s="14" t="s">
        <v>145</v>
      </c>
      <c r="G17" s="15" t="s">
        <v>146</v>
      </c>
      <c r="H17" s="16" t="n">
        <f aca="false">IF(C17="",0,LEN(C17)-LEN(SUBSTITUTE(C17,",",""))+1)+IF(D17="",0,LEN(D17)-LEN(SUBSTITUTE(D17,",",""))+1)+IF(E17="",0,LEN(E17)-LEN(SUBSTITUTE(E17,",",""))+1)+IF(F17="",0,LEN(F17)-LEN(SUBSTITUTE(F17,",",""))+1)+IF(G17="",0,LEN(G17)-LEN(SUBSTITUTE(G17,",",""))+1)</f>
        <v>13</v>
      </c>
      <c r="I17" s="10" t="s">
        <v>100</v>
      </c>
      <c r="J17" s="10" t="s">
        <v>101</v>
      </c>
      <c r="K17" s="10" t="s">
        <v>147</v>
      </c>
    </row>
    <row r="18" customFormat="false" ht="23.85" hidden="false" customHeight="false" outlineLevel="0" collapsed="false">
      <c r="A18" s="17" t="n">
        <v>14</v>
      </c>
      <c r="B18" s="18" t="s">
        <v>148</v>
      </c>
      <c r="C18" s="11" t="s">
        <v>149</v>
      </c>
      <c r="D18" s="12" t="s">
        <v>150</v>
      </c>
      <c r="E18" s="13" t="s">
        <v>65</v>
      </c>
      <c r="F18" s="14" t="s">
        <v>57</v>
      </c>
      <c r="G18" s="15" t="s">
        <v>151</v>
      </c>
      <c r="H18" s="19" t="n">
        <f aca="false">IF(C18="",0,LEN(C18)-LEN(SUBSTITUTE(C18,",",""))+1)+IF(D18="",0,LEN(D18)-LEN(SUBSTITUTE(D18,",",""))+1)+IF(E18="",0,LEN(E18)-LEN(SUBSTITUTE(E18,",",""))+1)+IF(F18="",0,LEN(F18)-LEN(SUBSTITUTE(F18,",",""))+1)+IF(G18="",0,LEN(G18)-LEN(SUBSTITUTE(G18,",",""))+1)</f>
        <v>13</v>
      </c>
      <c r="I18" s="18" t="s">
        <v>59</v>
      </c>
      <c r="J18" s="18" t="s">
        <v>152</v>
      </c>
      <c r="K18" s="18" t="s">
        <v>153</v>
      </c>
    </row>
    <row r="19" customFormat="false" ht="23.85" hidden="false" customHeight="false" outlineLevel="0" collapsed="false">
      <c r="A19" s="9" t="n">
        <v>15</v>
      </c>
      <c r="B19" s="10" t="s">
        <v>154</v>
      </c>
      <c r="C19" s="11" t="s">
        <v>155</v>
      </c>
      <c r="D19" s="12" t="s">
        <v>156</v>
      </c>
      <c r="E19" s="13" t="s">
        <v>65</v>
      </c>
      <c r="F19" s="14" t="s">
        <v>157</v>
      </c>
      <c r="G19" s="15" t="s">
        <v>158</v>
      </c>
      <c r="H19" s="16" t="n">
        <f aca="false">IF(C19="",0,LEN(C19)-LEN(SUBSTITUTE(C19,",",""))+1)+IF(D19="",0,LEN(D19)-LEN(SUBSTITUTE(D19,",",""))+1)+IF(E19="",0,LEN(E19)-LEN(SUBSTITUTE(E19,",",""))+1)+IF(F19="",0,LEN(F19)-LEN(SUBSTITUTE(F19,",",""))+1)+IF(G19="",0,LEN(G19)-LEN(SUBSTITUTE(G19,",",""))+1)</f>
        <v>12</v>
      </c>
      <c r="I19" s="10" t="s">
        <v>59</v>
      </c>
      <c r="J19" s="10" t="s">
        <v>159</v>
      </c>
      <c r="K19" s="10" t="s">
        <v>160</v>
      </c>
    </row>
    <row r="20" customFormat="false" ht="35.05" hidden="false" customHeight="false" outlineLevel="0" collapsed="false">
      <c r="A20" s="17" t="n">
        <v>16</v>
      </c>
      <c r="B20" s="18" t="s">
        <v>161</v>
      </c>
      <c r="C20" s="11" t="s">
        <v>162</v>
      </c>
      <c r="D20" s="12" t="s">
        <v>163</v>
      </c>
      <c r="E20" s="13" t="s">
        <v>164</v>
      </c>
      <c r="F20" s="14" t="s">
        <v>165</v>
      </c>
      <c r="G20" s="15" t="s">
        <v>166</v>
      </c>
      <c r="H20" s="19" t="n">
        <f aca="false">IF(C20="",0,LEN(C20)-LEN(SUBSTITUTE(C20,",",""))+1)+IF(D20="",0,LEN(D20)-LEN(SUBSTITUTE(D20,",",""))+1)+IF(E20="",0,LEN(E20)-LEN(SUBSTITUTE(E20,",",""))+1)+IF(F20="",0,LEN(F20)-LEN(SUBSTITUTE(F20,",",""))+1)+IF(G20="",0,LEN(G20)-LEN(SUBSTITUTE(G20,",",""))+1)</f>
        <v>12</v>
      </c>
      <c r="I20" s="18" t="s">
        <v>59</v>
      </c>
      <c r="J20" s="18" t="s">
        <v>167</v>
      </c>
      <c r="K20" s="18" t="s">
        <v>168</v>
      </c>
    </row>
    <row r="21" customFormat="false" ht="23.85" hidden="false" customHeight="false" outlineLevel="0" collapsed="false">
      <c r="A21" s="9" t="n">
        <v>17</v>
      </c>
      <c r="B21" s="10" t="s">
        <v>169</v>
      </c>
      <c r="C21" s="11" t="s">
        <v>170</v>
      </c>
      <c r="D21" s="12" t="s">
        <v>171</v>
      </c>
      <c r="E21" s="13" t="s">
        <v>73</v>
      </c>
      <c r="F21" s="14" t="s">
        <v>172</v>
      </c>
      <c r="G21" s="15" t="s">
        <v>151</v>
      </c>
      <c r="H21" s="16" t="n">
        <f aca="false">IF(C21="",0,LEN(C21)-LEN(SUBSTITUTE(C21,",",""))+1)+IF(D21="",0,LEN(D21)-LEN(SUBSTITUTE(D21,",",""))+1)+IF(E21="",0,LEN(E21)-LEN(SUBSTITUTE(E21,",",""))+1)+IF(F21="",0,LEN(F21)-LEN(SUBSTITUTE(F21,",",""))+1)+IF(G21="",0,LEN(G21)-LEN(SUBSTITUTE(G21,",",""))+1)</f>
        <v>12</v>
      </c>
      <c r="I21" s="10" t="s">
        <v>59</v>
      </c>
      <c r="J21" s="10" t="s">
        <v>173</v>
      </c>
      <c r="K21" s="10" t="s">
        <v>174</v>
      </c>
    </row>
    <row r="22" customFormat="false" ht="23.85" hidden="false" customHeight="false" outlineLevel="0" collapsed="false">
      <c r="A22" s="17" t="n">
        <v>18</v>
      </c>
      <c r="B22" s="18" t="s">
        <v>175</v>
      </c>
      <c r="C22" s="11" t="s">
        <v>176</v>
      </c>
      <c r="D22" s="12" t="s">
        <v>177</v>
      </c>
      <c r="E22" s="13" t="s">
        <v>178</v>
      </c>
      <c r="F22" s="14" t="s">
        <v>179</v>
      </c>
      <c r="G22" s="15" t="s">
        <v>180</v>
      </c>
      <c r="H22" s="19" t="n">
        <f aca="false">IF(C22="",0,LEN(C22)-LEN(SUBSTITUTE(C22,",",""))+1)+IF(D22="",0,LEN(D22)-LEN(SUBSTITUTE(D22,",",""))+1)+IF(E22="",0,LEN(E22)-LEN(SUBSTITUTE(E22,",",""))+1)+IF(F22="",0,LEN(F22)-LEN(SUBSTITUTE(F22,",",""))+1)+IF(G22="",0,LEN(G22)-LEN(SUBSTITUTE(G22,",",""))+1)</f>
        <v>13</v>
      </c>
      <c r="I22" s="18" t="s">
        <v>59</v>
      </c>
      <c r="J22" s="18" t="s">
        <v>181</v>
      </c>
      <c r="K22" s="18" t="s">
        <v>182</v>
      </c>
    </row>
    <row r="23" customFormat="false" ht="23.85" hidden="false" customHeight="false" outlineLevel="0" collapsed="false">
      <c r="A23" s="9" t="n">
        <v>19</v>
      </c>
      <c r="B23" s="10" t="s">
        <v>183</v>
      </c>
      <c r="C23" s="11" t="s">
        <v>184</v>
      </c>
      <c r="D23" s="12" t="s">
        <v>185</v>
      </c>
      <c r="E23" s="13" t="s">
        <v>186</v>
      </c>
      <c r="F23" s="14" t="s">
        <v>187</v>
      </c>
      <c r="G23" s="15" t="s">
        <v>83</v>
      </c>
      <c r="H23" s="16" t="n">
        <f aca="false">IF(C23="",0,LEN(C23)-LEN(SUBSTITUTE(C23,",",""))+1)+IF(D23="",0,LEN(D23)-LEN(SUBSTITUTE(D23,",",""))+1)+IF(E23="",0,LEN(E23)-LEN(SUBSTITUTE(E23,",",""))+1)+IF(F23="",0,LEN(F23)-LEN(SUBSTITUTE(F23,",",""))+1)+IF(G23="",0,LEN(G23)-LEN(SUBSTITUTE(G23,",",""))+1)</f>
        <v>13</v>
      </c>
      <c r="I23" s="10" t="s">
        <v>59</v>
      </c>
      <c r="J23" s="10" t="s">
        <v>188</v>
      </c>
      <c r="K23" s="10" t="s">
        <v>189</v>
      </c>
    </row>
    <row r="24" customFormat="false" ht="23.85" hidden="false" customHeight="false" outlineLevel="0" collapsed="false">
      <c r="A24" s="17" t="n">
        <v>20</v>
      </c>
      <c r="B24" s="18" t="s">
        <v>190</v>
      </c>
      <c r="C24" s="11" t="s">
        <v>191</v>
      </c>
      <c r="D24" s="12" t="s">
        <v>192</v>
      </c>
      <c r="E24" s="13" t="s">
        <v>164</v>
      </c>
      <c r="F24" s="14" t="s">
        <v>193</v>
      </c>
      <c r="G24" s="15" t="s">
        <v>99</v>
      </c>
      <c r="H24" s="19" t="n">
        <f aca="false">IF(C24="",0,LEN(C24)-LEN(SUBSTITUTE(C24,",",""))+1)+IF(D24="",0,LEN(D24)-LEN(SUBSTITUTE(D24,",",""))+1)+IF(E24="",0,LEN(E24)-LEN(SUBSTITUTE(E24,",",""))+1)+IF(F24="",0,LEN(F24)-LEN(SUBSTITUTE(F24,",",""))+1)+IF(G24="",0,LEN(G24)-LEN(SUBSTITUTE(G24,",",""))+1)</f>
        <v>11</v>
      </c>
      <c r="I24" s="18" t="s">
        <v>100</v>
      </c>
      <c r="J24" s="18" t="s">
        <v>101</v>
      </c>
      <c r="K24" s="18" t="s">
        <v>194</v>
      </c>
    </row>
    <row r="25" customFormat="false" ht="23.85" hidden="false" customHeight="false" outlineLevel="0" collapsed="false">
      <c r="A25" s="9" t="n">
        <v>21</v>
      </c>
      <c r="B25" s="10" t="s">
        <v>195</v>
      </c>
      <c r="C25" s="11" t="s">
        <v>196</v>
      </c>
      <c r="D25" s="12" t="s">
        <v>197</v>
      </c>
      <c r="E25" s="13" t="s">
        <v>164</v>
      </c>
      <c r="F25" s="14" t="s">
        <v>198</v>
      </c>
      <c r="G25" s="15" t="s">
        <v>107</v>
      </c>
      <c r="H25" s="16" t="n">
        <f aca="false">IF(C25="",0,LEN(C25)-LEN(SUBSTITUTE(C25,",",""))+1)+IF(D25="",0,LEN(D25)-LEN(SUBSTITUTE(D25,",",""))+1)+IF(E25="",0,LEN(E25)-LEN(SUBSTITUTE(E25,",",""))+1)+IF(F25="",0,LEN(F25)-LEN(SUBSTITUTE(F25,",",""))+1)+IF(G25="",0,LEN(G25)-LEN(SUBSTITUTE(G25,",",""))+1)</f>
        <v>13</v>
      </c>
      <c r="I25" s="10" t="s">
        <v>59</v>
      </c>
      <c r="J25" s="10" t="s">
        <v>199</v>
      </c>
      <c r="K25" s="10" t="s">
        <v>200</v>
      </c>
    </row>
    <row r="26" customFormat="false" ht="23.85" hidden="false" customHeight="false" outlineLevel="0" collapsed="false">
      <c r="A26" s="17" t="n">
        <v>22</v>
      </c>
      <c r="B26" s="18" t="s">
        <v>201</v>
      </c>
      <c r="C26" s="11" t="s">
        <v>71</v>
      </c>
      <c r="D26" s="12" t="s">
        <v>202</v>
      </c>
      <c r="E26" s="13" t="s">
        <v>73</v>
      </c>
      <c r="F26" s="14" t="s">
        <v>203</v>
      </c>
      <c r="G26" s="15" t="s">
        <v>204</v>
      </c>
      <c r="H26" s="19" t="n">
        <f aca="false">IF(C26="",0,LEN(C26)-LEN(SUBSTITUTE(C26,",",""))+1)+IF(D26="",0,LEN(D26)-LEN(SUBSTITUTE(D26,",",""))+1)+IF(E26="",0,LEN(E26)-LEN(SUBSTITUTE(E26,",",""))+1)+IF(F26="",0,LEN(F26)-LEN(SUBSTITUTE(F26,",",""))+1)+IF(G26="",0,LEN(G26)-LEN(SUBSTITUTE(G26,",",""))+1)</f>
        <v>13</v>
      </c>
      <c r="I26" s="18" t="s">
        <v>59</v>
      </c>
      <c r="J26" s="18" t="s">
        <v>205</v>
      </c>
      <c r="K26" s="18" t="s">
        <v>206</v>
      </c>
    </row>
    <row r="27" customFormat="false" ht="23.85" hidden="false" customHeight="false" outlineLevel="0" collapsed="false">
      <c r="A27" s="9" t="n">
        <v>23</v>
      </c>
      <c r="B27" s="10" t="s">
        <v>207</v>
      </c>
      <c r="C27" s="11" t="s">
        <v>208</v>
      </c>
      <c r="D27" s="12" t="s">
        <v>209</v>
      </c>
      <c r="E27" s="13" t="s">
        <v>81</v>
      </c>
      <c r="F27" s="14" t="s">
        <v>210</v>
      </c>
      <c r="G27" s="15" t="s">
        <v>99</v>
      </c>
      <c r="H27" s="16" t="n">
        <f aca="false">IF(C27="",0,LEN(C27)-LEN(SUBSTITUTE(C27,",",""))+1)+IF(D27="",0,LEN(D27)-LEN(SUBSTITUTE(D27,",",""))+1)+IF(E27="",0,LEN(E27)-LEN(SUBSTITUTE(E27,",",""))+1)+IF(F27="",0,LEN(F27)-LEN(SUBSTITUTE(F27,",",""))+1)+IF(G27="",0,LEN(G27)-LEN(SUBSTITUTE(G27,",",""))+1)</f>
        <v>13</v>
      </c>
      <c r="I27" s="10" t="s">
        <v>100</v>
      </c>
      <c r="J27" s="10" t="s">
        <v>101</v>
      </c>
      <c r="K27" s="10" t="s">
        <v>211</v>
      </c>
    </row>
    <row r="28" customFormat="false" ht="23.85" hidden="false" customHeight="false" outlineLevel="0" collapsed="false">
      <c r="A28" s="17" t="n">
        <v>24</v>
      </c>
      <c r="B28" s="18" t="s">
        <v>212</v>
      </c>
      <c r="C28" s="11" t="s">
        <v>213</v>
      </c>
      <c r="D28" s="12" t="s">
        <v>214</v>
      </c>
      <c r="E28" s="13" t="s">
        <v>113</v>
      </c>
      <c r="F28" s="14" t="s">
        <v>215</v>
      </c>
      <c r="G28" s="15" t="s">
        <v>107</v>
      </c>
      <c r="H28" s="19" t="n">
        <f aca="false">IF(C28="",0,LEN(C28)-LEN(SUBSTITUTE(C28,",",""))+1)+IF(D28="",0,LEN(D28)-LEN(SUBSTITUTE(D28,",",""))+1)+IF(E28="",0,LEN(E28)-LEN(SUBSTITUTE(E28,",",""))+1)+IF(F28="",0,LEN(F28)-LEN(SUBSTITUTE(F28,",",""))+1)+IF(G28="",0,LEN(G28)-LEN(SUBSTITUTE(G28,",",""))+1)</f>
        <v>11</v>
      </c>
      <c r="I28" s="18" t="s">
        <v>100</v>
      </c>
      <c r="J28" s="18" t="s">
        <v>101</v>
      </c>
      <c r="K28" s="18" t="s">
        <v>216</v>
      </c>
    </row>
    <row r="29" customFormat="false" ht="35.05" hidden="false" customHeight="false" outlineLevel="0" collapsed="false">
      <c r="A29" s="9" t="n">
        <v>25</v>
      </c>
      <c r="B29" s="10" t="s">
        <v>217</v>
      </c>
      <c r="C29" s="11" t="s">
        <v>218</v>
      </c>
      <c r="D29" s="12" t="s">
        <v>219</v>
      </c>
      <c r="E29" s="13" t="s">
        <v>178</v>
      </c>
      <c r="F29" s="14" t="s">
        <v>220</v>
      </c>
      <c r="G29" s="15" t="s">
        <v>221</v>
      </c>
      <c r="H29" s="16" t="n">
        <f aca="false">IF(C29="",0,LEN(C29)-LEN(SUBSTITUTE(C29,",",""))+1)+IF(D29="",0,LEN(D29)-LEN(SUBSTITUTE(D29,",",""))+1)+IF(E29="",0,LEN(E29)-LEN(SUBSTITUTE(E29,",",""))+1)+IF(F29="",0,LEN(F29)-LEN(SUBSTITUTE(F29,",",""))+1)+IF(G29="",0,LEN(G29)-LEN(SUBSTITUTE(G29,",",""))+1)</f>
        <v>13</v>
      </c>
      <c r="I29" s="10" t="s">
        <v>100</v>
      </c>
      <c r="J29" s="10" t="s">
        <v>101</v>
      </c>
      <c r="K29" s="10" t="s">
        <v>222</v>
      </c>
    </row>
    <row r="30" customFormat="false" ht="23.85" hidden="false" customHeight="false" outlineLevel="0" collapsed="false">
      <c r="A30" s="17" t="n">
        <v>26</v>
      </c>
      <c r="B30" s="18" t="s">
        <v>223</v>
      </c>
      <c r="C30" s="11" t="s">
        <v>155</v>
      </c>
      <c r="D30" s="12" t="s">
        <v>224</v>
      </c>
      <c r="E30" s="13" t="s">
        <v>65</v>
      </c>
      <c r="F30" s="14" t="s">
        <v>225</v>
      </c>
      <c r="G30" s="15" t="s">
        <v>107</v>
      </c>
      <c r="H30" s="19" t="n">
        <f aca="false">IF(C30="",0,LEN(C30)-LEN(SUBSTITUTE(C30,",",""))+1)+IF(D30="",0,LEN(D30)-LEN(SUBSTITUTE(D30,",",""))+1)+IF(E30="",0,LEN(E30)-LEN(SUBSTITUTE(E30,",",""))+1)+IF(F30="",0,LEN(F30)-LEN(SUBSTITUTE(F30,",",""))+1)+IF(G30="",0,LEN(G30)-LEN(SUBSTITUTE(G30,",",""))+1)</f>
        <v>13</v>
      </c>
      <c r="I30" s="18" t="s">
        <v>59</v>
      </c>
      <c r="J30" s="18" t="s">
        <v>226</v>
      </c>
      <c r="K30" s="18" t="s">
        <v>227</v>
      </c>
    </row>
    <row r="31" customFormat="false" ht="23.85" hidden="false" customHeight="false" outlineLevel="0" collapsed="false">
      <c r="A31" s="9" t="n">
        <v>27</v>
      </c>
      <c r="B31" s="10" t="s">
        <v>228</v>
      </c>
      <c r="C31" s="11" t="s">
        <v>229</v>
      </c>
      <c r="D31" s="12" t="s">
        <v>214</v>
      </c>
      <c r="E31" s="13" t="s">
        <v>230</v>
      </c>
      <c r="F31" s="14" t="s">
        <v>231</v>
      </c>
      <c r="G31" s="15" t="s">
        <v>99</v>
      </c>
      <c r="H31" s="16" t="n">
        <f aca="false">IF(C31="",0,LEN(C31)-LEN(SUBSTITUTE(C31,",",""))+1)+IF(D31="",0,LEN(D31)-LEN(SUBSTITUTE(D31,",",""))+1)+IF(E31="",0,LEN(E31)-LEN(SUBSTITUTE(E31,",",""))+1)+IF(F31="",0,LEN(F31)-LEN(SUBSTITUTE(F31,",",""))+1)+IF(G31="",0,LEN(G31)-LEN(SUBSTITUTE(G31,",",""))+1)</f>
        <v>11</v>
      </c>
      <c r="I31" s="10" t="s">
        <v>59</v>
      </c>
      <c r="J31" s="10" t="s">
        <v>232</v>
      </c>
      <c r="K31" s="10" t="s">
        <v>233</v>
      </c>
    </row>
    <row r="32" customFormat="false" ht="23.85" hidden="false" customHeight="false" outlineLevel="0" collapsed="false">
      <c r="A32" s="17" t="n">
        <v>28</v>
      </c>
      <c r="B32" s="18" t="s">
        <v>234</v>
      </c>
      <c r="C32" s="11" t="s">
        <v>235</v>
      </c>
      <c r="D32" s="12" t="s">
        <v>236</v>
      </c>
      <c r="E32" s="13" t="s">
        <v>73</v>
      </c>
      <c r="F32" s="14" t="s">
        <v>237</v>
      </c>
      <c r="G32" s="15" t="s">
        <v>204</v>
      </c>
      <c r="H32" s="19" t="n">
        <f aca="false">IF(C32="",0,LEN(C32)-LEN(SUBSTITUTE(C32,",",""))+1)+IF(D32="",0,LEN(D32)-LEN(SUBSTITUTE(D32,",",""))+1)+IF(E32="",0,LEN(E32)-LEN(SUBSTITUTE(E32,",",""))+1)+IF(F32="",0,LEN(F32)-LEN(SUBSTITUTE(F32,",",""))+1)+IF(G32="",0,LEN(G32)-LEN(SUBSTITUTE(G32,",",""))+1)</f>
        <v>12</v>
      </c>
      <c r="I32" s="18" t="s">
        <v>100</v>
      </c>
      <c r="J32" s="18" t="s">
        <v>101</v>
      </c>
      <c r="K32" s="18" t="s">
        <v>238</v>
      </c>
    </row>
    <row r="33" customFormat="false" ht="23.85" hidden="false" customHeight="false" outlineLevel="0" collapsed="false">
      <c r="A33" s="9" t="n">
        <v>29</v>
      </c>
      <c r="B33" s="10" t="s">
        <v>239</v>
      </c>
      <c r="C33" s="11" t="s">
        <v>155</v>
      </c>
      <c r="D33" s="12" t="s">
        <v>240</v>
      </c>
      <c r="E33" s="13" t="s">
        <v>241</v>
      </c>
      <c r="F33" s="14" t="s">
        <v>242</v>
      </c>
      <c r="G33" s="15" t="s">
        <v>243</v>
      </c>
      <c r="H33" s="16" t="n">
        <f aca="false">IF(C33="",0,LEN(C33)-LEN(SUBSTITUTE(C33,",",""))+1)+IF(D33="",0,LEN(D33)-LEN(SUBSTITUTE(D33,",",""))+1)+IF(E33="",0,LEN(E33)-LEN(SUBSTITUTE(E33,",",""))+1)+IF(F33="",0,LEN(F33)-LEN(SUBSTITUTE(F33,",",""))+1)+IF(G33="",0,LEN(G33)-LEN(SUBSTITUTE(G33,",",""))+1)</f>
        <v>13</v>
      </c>
      <c r="I33" s="10" t="s">
        <v>59</v>
      </c>
      <c r="J33" s="10" t="s">
        <v>244</v>
      </c>
      <c r="K33" s="10" t="s">
        <v>245</v>
      </c>
    </row>
    <row r="34" customFormat="false" ht="23.85" hidden="false" customHeight="false" outlineLevel="0" collapsed="false">
      <c r="A34" s="17" t="n">
        <v>30</v>
      </c>
      <c r="B34" s="18" t="s">
        <v>246</v>
      </c>
      <c r="C34" s="11" t="s">
        <v>235</v>
      </c>
      <c r="D34" s="12" t="s">
        <v>247</v>
      </c>
      <c r="E34" s="13" t="s">
        <v>248</v>
      </c>
      <c r="F34" s="14" t="s">
        <v>249</v>
      </c>
      <c r="G34" s="15" t="s">
        <v>180</v>
      </c>
      <c r="H34" s="19" t="n">
        <f aca="false">IF(C34="",0,LEN(C34)-LEN(SUBSTITUTE(C34,",",""))+1)+IF(D34="",0,LEN(D34)-LEN(SUBSTITUTE(D34,",",""))+1)+IF(E34="",0,LEN(E34)-LEN(SUBSTITUTE(E34,",",""))+1)+IF(F34="",0,LEN(F34)-LEN(SUBSTITUTE(F34,",",""))+1)+IF(G34="",0,LEN(G34)-LEN(SUBSTITUTE(G34,",",""))+1)</f>
        <v>13</v>
      </c>
      <c r="I34" s="18" t="s">
        <v>59</v>
      </c>
      <c r="J34" s="18" t="s">
        <v>250</v>
      </c>
      <c r="K34" s="18" t="s">
        <v>251</v>
      </c>
    </row>
    <row r="35" customFormat="false" ht="23.85" hidden="false" customHeight="false" outlineLevel="0" collapsed="false">
      <c r="A35" s="9" t="n">
        <v>31</v>
      </c>
      <c r="B35" s="10" t="s">
        <v>252</v>
      </c>
      <c r="C35" s="11" t="s">
        <v>149</v>
      </c>
      <c r="D35" s="12" t="s">
        <v>253</v>
      </c>
      <c r="E35" s="13" t="s">
        <v>56</v>
      </c>
      <c r="F35" s="14" t="s">
        <v>254</v>
      </c>
      <c r="G35" s="15" t="s">
        <v>58</v>
      </c>
      <c r="H35" s="16" t="n">
        <f aca="false">IF(C35="",0,LEN(C35)-LEN(SUBSTITUTE(C35,",",""))+1)+IF(D35="",0,LEN(D35)-LEN(SUBSTITUTE(D35,",",""))+1)+IF(E35="",0,LEN(E35)-LEN(SUBSTITUTE(E35,",",""))+1)+IF(F35="",0,LEN(F35)-LEN(SUBSTITUTE(F35,",",""))+1)+IF(G35="",0,LEN(G35)-LEN(SUBSTITUTE(G35,",",""))+1)</f>
        <v>12</v>
      </c>
      <c r="I35" s="10" t="s">
        <v>59</v>
      </c>
      <c r="J35" s="10" t="s">
        <v>255</v>
      </c>
      <c r="K35" s="10" t="s">
        <v>256</v>
      </c>
    </row>
    <row r="36" customFormat="false" ht="23.85" hidden="false" customHeight="false" outlineLevel="0" collapsed="false">
      <c r="A36" s="20" t="n">
        <v>32</v>
      </c>
      <c r="B36" s="21" t="s">
        <v>36</v>
      </c>
      <c r="C36" s="22"/>
      <c r="D36" s="23"/>
      <c r="E36" s="24"/>
      <c r="F36" s="25"/>
      <c r="G36" s="26"/>
      <c r="H36" s="20" t="n">
        <f aca="false">IF(C36="",0,LEN(C36)-LEN(SUBSTITUTE(C36,",",""))+1)+IF(D36="",0,LEN(D36)-LEN(SUBSTITUTE(D36,",",""))+1)+IF(E36="",0,LEN(E36)-LEN(SUBSTITUTE(E36,",",""))+1)+IF(F36="",0,LEN(F36)-LEN(SUBSTITUTE(F36,",",""))+1)+IF(G36="",0,LEN(G36)-LEN(SUBSTITUTE(G36,",",""))+1)</f>
        <v>0</v>
      </c>
      <c r="I36" s="21" t="s">
        <v>257</v>
      </c>
      <c r="J36" s="21" t="s">
        <v>101</v>
      </c>
      <c r="K36" s="21" t="s">
        <v>258</v>
      </c>
    </row>
    <row r="38" customFormat="false" ht="25.5" hidden="false" customHeight="true" outlineLevel="0" collapsed="false">
      <c r="A38" s="27" t="s">
        <v>259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</row>
  </sheetData>
  <mergeCells count="1">
    <mergeCell ref="A38:K38"/>
  </mergeCells>
  <dataValidations count="5">
    <dataValidation allowBlank="true" errorStyle="stop" operator="lessThanOrEqual" prompt="Comma-separated labels from the Tag Dictionary sheet, spelled exactly." promptTitle="Vibe tags" showDropDown="false" showErrorMessage="false" showInputMessage="true" sqref="C5:C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Intention tags" showDropDown="false" showErrorMessage="false" showInputMessage="true" sqref="D5:D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Element tags" showDropDown="false" showErrorMessage="false" showInputMessage="true" sqref="E5:E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Theme tags" showDropDown="false" showErrorMessage="false" showInputMessage="true" sqref="F5:F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Vibration tags" showDropDown="false" showErrorMessage="false" showInputMessage="true" sqref="G5:G36" type="textLength">
      <formula1>120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5" min="4" style="0" width="15"/>
  </cols>
  <sheetData>
    <row r="1" customFormat="false" ht="19.5" hidden="false" customHeight="true" outlineLevel="0" collapsed="false">
      <c r="A1" s="1" t="s">
        <v>5</v>
      </c>
    </row>
    <row r="2" customFormat="false" ht="15" hidden="false" customHeight="false" outlineLevel="0" collapsed="false">
      <c r="A2" s="2" t="s">
        <v>260</v>
      </c>
    </row>
    <row r="4" customFormat="false" ht="30" hidden="false" customHeight="true" outlineLevel="0" collapsed="false">
      <c r="A4" s="8" t="s">
        <v>261</v>
      </c>
      <c r="B4" s="8" t="s">
        <v>262</v>
      </c>
      <c r="C4" s="8" t="s">
        <v>263</v>
      </c>
      <c r="D4" s="8" t="s">
        <v>264</v>
      </c>
      <c r="E4" s="8" t="s">
        <v>265</v>
      </c>
    </row>
    <row r="5" customFormat="false" ht="15" hidden="false" customHeight="false" outlineLevel="0" collapsed="false">
      <c r="A5" s="28" t="s">
        <v>266</v>
      </c>
      <c r="B5" s="29" t="s">
        <v>267</v>
      </c>
      <c r="C5" s="30" t="s">
        <v>268</v>
      </c>
      <c r="D5" s="31" t="n">
        <f aca="false">COUNTIF('Track Tags'!$C$5:$C$36,"*"&amp;B5&amp;"*")</f>
        <v>2</v>
      </c>
      <c r="E5" s="32" t="n">
        <f aca="false">IFERROR(D5/31,0)</f>
        <v>0.0645161290322581</v>
      </c>
    </row>
    <row r="6" customFormat="false" ht="15" hidden="false" customHeight="false" outlineLevel="0" collapsed="false">
      <c r="A6" s="28" t="s">
        <v>266</v>
      </c>
      <c r="B6" s="29" t="s">
        <v>269</v>
      </c>
      <c r="C6" s="30" t="s">
        <v>268</v>
      </c>
      <c r="D6" s="31" t="n">
        <f aca="false">COUNTIF('Track Tags'!$C$5:$C$36,"*"&amp;B6&amp;"*")</f>
        <v>5</v>
      </c>
      <c r="E6" s="32" t="n">
        <f aca="false">IFERROR(D6/31,0)</f>
        <v>0.161290322580645</v>
      </c>
    </row>
    <row r="7" customFormat="false" ht="15" hidden="false" customHeight="false" outlineLevel="0" collapsed="false">
      <c r="A7" s="28" t="s">
        <v>266</v>
      </c>
      <c r="B7" s="29" t="s">
        <v>270</v>
      </c>
      <c r="C7" s="30" t="s">
        <v>268</v>
      </c>
      <c r="D7" s="31" t="n">
        <f aca="false">COUNTIF('Track Tags'!$C$5:$C$36,"*"&amp;B7&amp;"*")</f>
        <v>18</v>
      </c>
      <c r="E7" s="32" t="n">
        <f aca="false">IFERROR(D7/31,0)</f>
        <v>0.580645161290323</v>
      </c>
    </row>
    <row r="8" customFormat="false" ht="15" hidden="false" customHeight="false" outlineLevel="0" collapsed="false">
      <c r="A8" s="28" t="s">
        <v>266</v>
      </c>
      <c r="B8" s="29" t="s">
        <v>271</v>
      </c>
      <c r="C8" s="30" t="s">
        <v>268</v>
      </c>
      <c r="D8" s="31" t="n">
        <f aca="false">COUNTIF('Track Tags'!$C$5:$C$36,"*"&amp;B8&amp;"*")</f>
        <v>2</v>
      </c>
      <c r="E8" s="32" t="n">
        <f aca="false">IFERROR(D8/31,0)</f>
        <v>0.0645161290322581</v>
      </c>
    </row>
    <row r="9" customFormat="false" ht="15" hidden="false" customHeight="false" outlineLevel="0" collapsed="false">
      <c r="A9" s="28" t="s">
        <v>266</v>
      </c>
      <c r="B9" s="29" t="s">
        <v>272</v>
      </c>
      <c r="C9" s="30" t="s">
        <v>268</v>
      </c>
      <c r="D9" s="31" t="n">
        <f aca="false">COUNTIF('Track Tags'!$C$5:$C$36,"*"&amp;B9&amp;"*")</f>
        <v>19</v>
      </c>
      <c r="E9" s="32" t="n">
        <f aca="false">IFERROR(D9/31,0)</f>
        <v>0.612903225806452</v>
      </c>
    </row>
    <row r="10" customFormat="false" ht="15" hidden="false" customHeight="false" outlineLevel="0" collapsed="false">
      <c r="A10" s="28" t="s">
        <v>266</v>
      </c>
      <c r="B10" s="29" t="s">
        <v>273</v>
      </c>
      <c r="C10" s="30" t="s">
        <v>268</v>
      </c>
      <c r="D10" s="31" t="n">
        <f aca="false">COUNTIF('Track Tags'!$C$5:$C$36,"*"&amp;B10&amp;"*")</f>
        <v>10</v>
      </c>
      <c r="E10" s="32" t="n">
        <f aca="false">IFERROR(D10/31,0)</f>
        <v>0.32258064516129</v>
      </c>
    </row>
    <row r="11" customFormat="false" ht="15" hidden="false" customHeight="false" outlineLevel="0" collapsed="false">
      <c r="A11" s="28" t="s">
        <v>266</v>
      </c>
      <c r="B11" s="29" t="s">
        <v>274</v>
      </c>
      <c r="C11" s="30" t="s">
        <v>268</v>
      </c>
      <c r="D11" s="31" t="n">
        <f aca="false">COUNTIF('Track Tags'!$C$5:$C$36,"*"&amp;B11&amp;"*")</f>
        <v>8</v>
      </c>
      <c r="E11" s="32" t="n">
        <f aca="false">IFERROR(D11/31,0)</f>
        <v>0.258064516129032</v>
      </c>
    </row>
    <row r="12" customFormat="false" ht="15" hidden="false" customHeight="false" outlineLevel="0" collapsed="false">
      <c r="A12" s="28" t="s">
        <v>266</v>
      </c>
      <c r="B12" s="29" t="s">
        <v>275</v>
      </c>
      <c r="C12" s="30" t="s">
        <v>268</v>
      </c>
      <c r="D12" s="31" t="n">
        <f aca="false">COUNTIF('Track Tags'!$C$5:$C$36,"*"&amp;B12&amp;"*")</f>
        <v>10</v>
      </c>
      <c r="E12" s="32" t="n">
        <f aca="false">IFERROR(D12/31,0)</f>
        <v>0.32258064516129</v>
      </c>
    </row>
    <row r="13" customFormat="false" ht="15" hidden="false" customHeight="false" outlineLevel="0" collapsed="false">
      <c r="A13" s="28" t="s">
        <v>266</v>
      </c>
      <c r="B13" s="29" t="s">
        <v>276</v>
      </c>
      <c r="C13" s="30" t="s">
        <v>268</v>
      </c>
      <c r="D13" s="31" t="n">
        <f aca="false">COUNTIF('Track Tags'!$C$5:$C$36,"*"&amp;B13&amp;"*")</f>
        <v>14</v>
      </c>
      <c r="E13" s="32" t="n">
        <f aca="false">IFERROR(D13/31,0)</f>
        <v>0.451612903225806</v>
      </c>
    </row>
    <row r="14" customFormat="false" ht="15" hidden="false" customHeight="false" outlineLevel="0" collapsed="false">
      <c r="A14" s="33" t="s">
        <v>277</v>
      </c>
      <c r="B14" s="29" t="s">
        <v>278</v>
      </c>
      <c r="C14" s="30" t="s">
        <v>279</v>
      </c>
      <c r="D14" s="31" t="n">
        <f aca="false">COUNTIF('Track Tags'!$D$5:$D$36,"*"&amp;B14&amp;"*")</f>
        <v>5</v>
      </c>
      <c r="E14" s="32" t="n">
        <f aca="false">IFERROR(D14/31,0)</f>
        <v>0.161290322580645</v>
      </c>
    </row>
    <row r="15" customFormat="false" ht="15" hidden="false" customHeight="false" outlineLevel="0" collapsed="false">
      <c r="A15" s="33" t="s">
        <v>277</v>
      </c>
      <c r="B15" s="29" t="s">
        <v>280</v>
      </c>
      <c r="C15" s="30" t="s">
        <v>279</v>
      </c>
      <c r="D15" s="31" t="n">
        <f aca="false">COUNTIF('Track Tags'!$D$5:$D$36,"*"&amp;B15&amp;"*")</f>
        <v>6</v>
      </c>
      <c r="E15" s="32" t="n">
        <f aca="false">IFERROR(D15/31,0)</f>
        <v>0.193548387096774</v>
      </c>
    </row>
    <row r="16" customFormat="false" ht="15" hidden="false" customHeight="false" outlineLevel="0" collapsed="false">
      <c r="A16" s="33" t="s">
        <v>277</v>
      </c>
      <c r="B16" s="29" t="s">
        <v>281</v>
      </c>
      <c r="C16" s="30" t="s">
        <v>279</v>
      </c>
      <c r="D16" s="31" t="n">
        <f aca="false">COUNTIF('Track Tags'!$D$5:$D$36,"*"&amp;B16&amp;"*")</f>
        <v>10</v>
      </c>
      <c r="E16" s="32" t="n">
        <f aca="false">IFERROR(D16/31,0)</f>
        <v>0.32258064516129</v>
      </c>
    </row>
    <row r="17" customFormat="false" ht="15" hidden="false" customHeight="false" outlineLevel="0" collapsed="false">
      <c r="A17" s="33" t="s">
        <v>277</v>
      </c>
      <c r="B17" s="29" t="s">
        <v>282</v>
      </c>
      <c r="C17" s="30" t="s">
        <v>279</v>
      </c>
      <c r="D17" s="31" t="n">
        <f aca="false">COUNTIF('Track Tags'!$D$5:$D$36,"*"&amp;B17&amp;"*")</f>
        <v>7</v>
      </c>
      <c r="E17" s="32" t="n">
        <f aca="false">IFERROR(D17/31,0)</f>
        <v>0.225806451612903</v>
      </c>
    </row>
    <row r="18" customFormat="false" ht="15" hidden="false" customHeight="false" outlineLevel="0" collapsed="false">
      <c r="A18" s="33" t="s">
        <v>277</v>
      </c>
      <c r="B18" s="29" t="s">
        <v>283</v>
      </c>
      <c r="C18" s="30" t="s">
        <v>279</v>
      </c>
      <c r="D18" s="31" t="n">
        <f aca="false">COUNTIF('Track Tags'!$D$5:$D$36,"*"&amp;B18&amp;"*")</f>
        <v>8</v>
      </c>
      <c r="E18" s="32" t="n">
        <f aca="false">IFERROR(D18/31,0)</f>
        <v>0.258064516129032</v>
      </c>
    </row>
    <row r="19" customFormat="false" ht="15" hidden="false" customHeight="false" outlineLevel="0" collapsed="false">
      <c r="A19" s="33" t="s">
        <v>277</v>
      </c>
      <c r="B19" s="29" t="s">
        <v>284</v>
      </c>
      <c r="C19" s="30" t="s">
        <v>279</v>
      </c>
      <c r="D19" s="31" t="n">
        <f aca="false">COUNTIF('Track Tags'!$D$5:$D$36,"*"&amp;B19&amp;"*")</f>
        <v>13</v>
      </c>
      <c r="E19" s="32" t="n">
        <f aca="false">IFERROR(D19/31,0)</f>
        <v>0.419354838709677</v>
      </c>
    </row>
    <row r="20" customFormat="false" ht="15" hidden="false" customHeight="false" outlineLevel="0" collapsed="false">
      <c r="A20" s="33" t="s">
        <v>277</v>
      </c>
      <c r="B20" s="29" t="s">
        <v>285</v>
      </c>
      <c r="C20" s="30" t="s">
        <v>279</v>
      </c>
      <c r="D20" s="31" t="n">
        <f aca="false">COUNTIF('Track Tags'!$D$5:$D$36,"*"&amp;B20&amp;"*")</f>
        <v>8</v>
      </c>
      <c r="E20" s="32" t="n">
        <f aca="false">IFERROR(D20/31,0)</f>
        <v>0.258064516129032</v>
      </c>
    </row>
    <row r="21" customFormat="false" ht="15" hidden="false" customHeight="false" outlineLevel="0" collapsed="false">
      <c r="A21" s="33" t="s">
        <v>277</v>
      </c>
      <c r="B21" s="29" t="s">
        <v>286</v>
      </c>
      <c r="C21" s="30" t="s">
        <v>279</v>
      </c>
      <c r="D21" s="31" t="n">
        <f aca="false">COUNTIF('Track Tags'!$D$5:$D$36,"*"&amp;B21&amp;"*")</f>
        <v>3</v>
      </c>
      <c r="E21" s="32" t="n">
        <f aca="false">IFERROR(D21/31,0)</f>
        <v>0.0967741935483871</v>
      </c>
    </row>
    <row r="22" customFormat="false" ht="15" hidden="false" customHeight="false" outlineLevel="0" collapsed="false">
      <c r="A22" s="33" t="s">
        <v>277</v>
      </c>
      <c r="B22" s="29" t="s">
        <v>287</v>
      </c>
      <c r="C22" s="30" t="s">
        <v>279</v>
      </c>
      <c r="D22" s="31" t="n">
        <f aca="false">COUNTIF('Track Tags'!$D$5:$D$36,"*"&amp;B22&amp;"*")</f>
        <v>8</v>
      </c>
      <c r="E22" s="32" t="n">
        <f aca="false">IFERROR(D22/31,0)</f>
        <v>0.258064516129032</v>
      </c>
    </row>
    <row r="23" customFormat="false" ht="15" hidden="false" customHeight="false" outlineLevel="0" collapsed="false">
      <c r="A23" s="33" t="s">
        <v>277</v>
      </c>
      <c r="B23" s="29" t="s">
        <v>288</v>
      </c>
      <c r="C23" s="30" t="s">
        <v>279</v>
      </c>
      <c r="D23" s="31" t="n">
        <f aca="false">COUNTIF('Track Tags'!$D$5:$D$36,"*"&amp;B23&amp;"*")</f>
        <v>13</v>
      </c>
      <c r="E23" s="32" t="n">
        <f aca="false">IFERROR(D23/31,0)</f>
        <v>0.419354838709677</v>
      </c>
    </row>
    <row r="24" customFormat="false" ht="15" hidden="false" customHeight="false" outlineLevel="0" collapsed="false">
      <c r="A24" s="33" t="s">
        <v>277</v>
      </c>
      <c r="B24" s="29" t="s">
        <v>289</v>
      </c>
      <c r="C24" s="30" t="s">
        <v>279</v>
      </c>
      <c r="D24" s="31" t="n">
        <f aca="false">COUNTIF('Track Tags'!$D$5:$D$36,"*"&amp;B24&amp;"*")</f>
        <v>7</v>
      </c>
      <c r="E24" s="32" t="n">
        <f aca="false">IFERROR(D24/31,0)</f>
        <v>0.225806451612903</v>
      </c>
    </row>
    <row r="25" customFormat="false" ht="15" hidden="false" customHeight="false" outlineLevel="0" collapsed="false">
      <c r="A25" s="34" t="s">
        <v>290</v>
      </c>
      <c r="B25" s="29" t="s">
        <v>56</v>
      </c>
      <c r="C25" s="30" t="s">
        <v>291</v>
      </c>
      <c r="D25" s="31" t="n">
        <f aca="false">COUNTIF('Track Tags'!$E$5:$E$36,"*"&amp;B25&amp;"*")</f>
        <v>15</v>
      </c>
      <c r="E25" s="32" t="n">
        <f aca="false">IFERROR(D25/31,0)</f>
        <v>0.483870967741936</v>
      </c>
    </row>
    <row r="26" customFormat="false" ht="15" hidden="false" customHeight="false" outlineLevel="0" collapsed="false">
      <c r="A26" s="34" t="s">
        <v>290</v>
      </c>
      <c r="B26" s="29" t="s">
        <v>292</v>
      </c>
      <c r="C26" s="30" t="s">
        <v>291</v>
      </c>
      <c r="D26" s="31" t="n">
        <f aca="false">COUNTIF('Track Tags'!$E$5:$E$36,"*"&amp;B26&amp;"*")</f>
        <v>9</v>
      </c>
      <c r="E26" s="32" t="n">
        <f aca="false">IFERROR(D26/31,0)</f>
        <v>0.290322580645161</v>
      </c>
    </row>
    <row r="27" customFormat="false" ht="15" hidden="false" customHeight="false" outlineLevel="0" collapsed="false">
      <c r="A27" s="34" t="s">
        <v>290</v>
      </c>
      <c r="B27" s="29" t="s">
        <v>89</v>
      </c>
      <c r="C27" s="30" t="s">
        <v>291</v>
      </c>
      <c r="D27" s="31" t="n">
        <f aca="false">COUNTIF('Track Tags'!$E$5:$E$36,"*"&amp;B27&amp;"*")</f>
        <v>14</v>
      </c>
      <c r="E27" s="32" t="n">
        <f aca="false">IFERROR(D27/31,0)</f>
        <v>0.451612903225806</v>
      </c>
    </row>
    <row r="28" customFormat="false" ht="15" hidden="false" customHeight="false" outlineLevel="0" collapsed="false">
      <c r="A28" s="34" t="s">
        <v>290</v>
      </c>
      <c r="B28" s="29" t="s">
        <v>230</v>
      </c>
      <c r="C28" s="30" t="s">
        <v>291</v>
      </c>
      <c r="D28" s="31" t="n">
        <f aca="false">COUNTIF('Track Tags'!$E$5:$E$36,"*"&amp;B28&amp;"*")</f>
        <v>19</v>
      </c>
      <c r="E28" s="32" t="n">
        <f aca="false">IFERROR(D28/31,0)</f>
        <v>0.612903225806452</v>
      </c>
    </row>
    <row r="29" customFormat="false" ht="15" hidden="false" customHeight="false" outlineLevel="0" collapsed="false">
      <c r="A29" s="35" t="s">
        <v>293</v>
      </c>
      <c r="B29" s="29" t="s">
        <v>294</v>
      </c>
      <c r="C29" s="30" t="s">
        <v>295</v>
      </c>
      <c r="D29" s="31" t="n">
        <f aca="false">COUNTIF('Track Tags'!$F$5:$F$36,"*"&amp;B29&amp;"*")</f>
        <v>12</v>
      </c>
      <c r="E29" s="32" t="n">
        <f aca="false">IFERROR(D29/31,0)</f>
        <v>0.387096774193548</v>
      </c>
    </row>
    <row r="30" customFormat="false" ht="15" hidden="false" customHeight="false" outlineLevel="0" collapsed="false">
      <c r="A30" s="35" t="s">
        <v>293</v>
      </c>
      <c r="B30" s="29" t="s">
        <v>296</v>
      </c>
      <c r="C30" s="30" t="s">
        <v>295</v>
      </c>
      <c r="D30" s="31" t="n">
        <f aca="false">COUNTIF('Track Tags'!$F$5:$F$36,"*"&amp;B30&amp;"*")</f>
        <v>16</v>
      </c>
      <c r="E30" s="32" t="n">
        <f aca="false">IFERROR(D30/31,0)</f>
        <v>0.516129032258065</v>
      </c>
    </row>
    <row r="31" customFormat="false" ht="15" hidden="false" customHeight="false" outlineLevel="0" collapsed="false">
      <c r="A31" s="35" t="s">
        <v>293</v>
      </c>
      <c r="B31" s="29" t="s">
        <v>297</v>
      </c>
      <c r="C31" s="30" t="s">
        <v>295</v>
      </c>
      <c r="D31" s="31" t="n">
        <f aca="false">COUNTIF('Track Tags'!$F$5:$F$36,"*"&amp;B31&amp;"*")</f>
        <v>11</v>
      </c>
      <c r="E31" s="32" t="n">
        <f aca="false">IFERROR(D31/31,0)</f>
        <v>0.354838709677419</v>
      </c>
    </row>
    <row r="32" customFormat="false" ht="15" hidden="false" customHeight="false" outlineLevel="0" collapsed="false">
      <c r="A32" s="35" t="s">
        <v>293</v>
      </c>
      <c r="B32" s="29" t="s">
        <v>298</v>
      </c>
      <c r="C32" s="30" t="s">
        <v>295</v>
      </c>
      <c r="D32" s="31" t="n">
        <f aca="false">COUNTIF('Track Tags'!$F$5:$F$36,"*"&amp;B32&amp;"*")</f>
        <v>11</v>
      </c>
      <c r="E32" s="32" t="n">
        <f aca="false">IFERROR(D32/31,0)</f>
        <v>0.354838709677419</v>
      </c>
    </row>
    <row r="33" customFormat="false" ht="15" hidden="false" customHeight="false" outlineLevel="0" collapsed="false">
      <c r="A33" s="35" t="s">
        <v>293</v>
      </c>
      <c r="B33" s="29" t="s">
        <v>299</v>
      </c>
      <c r="C33" s="30" t="s">
        <v>295</v>
      </c>
      <c r="D33" s="31" t="n">
        <f aca="false">COUNTIF('Track Tags'!$F$5:$F$36,"*"&amp;B33&amp;"*")</f>
        <v>7</v>
      </c>
      <c r="E33" s="32" t="n">
        <f aca="false">IFERROR(D33/31,0)</f>
        <v>0.225806451612903</v>
      </c>
    </row>
    <row r="34" customFormat="false" ht="15" hidden="false" customHeight="false" outlineLevel="0" collapsed="false">
      <c r="A34" s="35" t="s">
        <v>293</v>
      </c>
      <c r="B34" s="29" t="s">
        <v>300</v>
      </c>
      <c r="C34" s="30" t="s">
        <v>295</v>
      </c>
      <c r="D34" s="31" t="n">
        <f aca="false">COUNTIF('Track Tags'!$F$5:$F$36,"*"&amp;B34&amp;"*")</f>
        <v>11</v>
      </c>
      <c r="E34" s="32" t="n">
        <f aca="false">IFERROR(D34/31,0)</f>
        <v>0.354838709677419</v>
      </c>
    </row>
    <row r="35" customFormat="false" ht="15" hidden="false" customHeight="false" outlineLevel="0" collapsed="false">
      <c r="A35" s="35" t="s">
        <v>293</v>
      </c>
      <c r="B35" s="29" t="s">
        <v>301</v>
      </c>
      <c r="C35" s="30" t="s">
        <v>295</v>
      </c>
      <c r="D35" s="31" t="n">
        <f aca="false">COUNTIF('Track Tags'!$F$5:$F$36,"*"&amp;B35&amp;"*")</f>
        <v>12</v>
      </c>
      <c r="E35" s="32" t="n">
        <f aca="false">IFERROR(D35/31,0)</f>
        <v>0.387096774193548</v>
      </c>
    </row>
    <row r="36" customFormat="false" ht="15" hidden="false" customHeight="false" outlineLevel="0" collapsed="false">
      <c r="A36" s="35" t="s">
        <v>293</v>
      </c>
      <c r="B36" s="29" t="s">
        <v>302</v>
      </c>
      <c r="C36" s="30" t="s">
        <v>295</v>
      </c>
      <c r="D36" s="31" t="n">
        <f aca="false">COUNTIF('Track Tags'!$F$5:$F$36,"*"&amp;B36&amp;"*")</f>
        <v>5</v>
      </c>
      <c r="E36" s="32" t="n">
        <f aca="false">IFERROR(D36/31,0)</f>
        <v>0.161290322580645</v>
      </c>
    </row>
    <row r="37" customFormat="false" ht="15" hidden="false" customHeight="false" outlineLevel="0" collapsed="false">
      <c r="A37" s="36" t="s">
        <v>303</v>
      </c>
      <c r="B37" s="29" t="s">
        <v>304</v>
      </c>
      <c r="C37" s="30" t="s">
        <v>305</v>
      </c>
      <c r="D37" s="31" t="n">
        <f aca="false">COUNTIF('Track Tags'!$G$5:$G$36,"*"&amp;B37&amp;"*")</f>
        <v>7</v>
      </c>
      <c r="E37" s="32" t="n">
        <f aca="false">IFERROR(D37/31,0)</f>
        <v>0.225806451612903</v>
      </c>
    </row>
    <row r="38" customFormat="false" ht="15" hidden="false" customHeight="false" outlineLevel="0" collapsed="false">
      <c r="A38" s="36" t="s">
        <v>303</v>
      </c>
      <c r="B38" s="29" t="s">
        <v>306</v>
      </c>
      <c r="C38" s="30" t="s">
        <v>305</v>
      </c>
      <c r="D38" s="31" t="n">
        <f aca="false">COUNTIF('Track Tags'!$G$5:$G$36,"*"&amp;B38&amp;"*")</f>
        <v>5</v>
      </c>
      <c r="E38" s="32" t="n">
        <f aca="false">IFERROR(D38/31,0)</f>
        <v>0.161290322580645</v>
      </c>
    </row>
    <row r="39" customFormat="false" ht="15" hidden="false" customHeight="false" outlineLevel="0" collapsed="false">
      <c r="A39" s="36" t="s">
        <v>303</v>
      </c>
      <c r="B39" s="29" t="s">
        <v>307</v>
      </c>
      <c r="C39" s="30" t="s">
        <v>305</v>
      </c>
      <c r="D39" s="31" t="n">
        <f aca="false">COUNTIF('Track Tags'!$G$5:$G$36,"*"&amp;B39&amp;"*")</f>
        <v>14</v>
      </c>
      <c r="E39" s="32" t="n">
        <f aca="false">IFERROR(D39/31,0)</f>
        <v>0.451612903225806</v>
      </c>
    </row>
    <row r="40" customFormat="false" ht="15" hidden="false" customHeight="false" outlineLevel="0" collapsed="false">
      <c r="A40" s="36" t="s">
        <v>303</v>
      </c>
      <c r="B40" s="29" t="s">
        <v>308</v>
      </c>
      <c r="C40" s="30" t="s">
        <v>305</v>
      </c>
      <c r="D40" s="31" t="n">
        <f aca="false">COUNTIF('Track Tags'!$G$5:$G$36,"*"&amp;B40&amp;"*")</f>
        <v>7</v>
      </c>
      <c r="E40" s="32" t="n">
        <f aca="false">IFERROR(D40/31,0)</f>
        <v>0.225806451612903</v>
      </c>
    </row>
    <row r="41" customFormat="false" ht="15" hidden="false" customHeight="false" outlineLevel="0" collapsed="false">
      <c r="A41" s="36" t="s">
        <v>303</v>
      </c>
      <c r="B41" s="29" t="s">
        <v>309</v>
      </c>
      <c r="C41" s="30" t="s">
        <v>305</v>
      </c>
      <c r="D41" s="31" t="n">
        <f aca="false">COUNTIF('Track Tags'!$G$5:$G$36,"*"&amp;B41&amp;"*")</f>
        <v>16</v>
      </c>
      <c r="E41" s="32" t="n">
        <f aca="false">IFERROR(D41/31,0)</f>
        <v>0.516129032258065</v>
      </c>
    </row>
    <row r="42" customFormat="false" ht="15" hidden="false" customHeight="false" outlineLevel="0" collapsed="false">
      <c r="A42" s="36" t="s">
        <v>303</v>
      </c>
      <c r="B42" s="29" t="s">
        <v>310</v>
      </c>
      <c r="C42" s="30" t="s">
        <v>305</v>
      </c>
      <c r="D42" s="31" t="n">
        <f aca="false">COUNTIF('Track Tags'!$G$5:$G$36,"*"&amp;B42&amp;"*")</f>
        <v>2</v>
      </c>
      <c r="E42" s="32" t="n">
        <f aca="false">IFERROR(D42/31,0)</f>
        <v>0.0645161290322581</v>
      </c>
    </row>
    <row r="43" customFormat="false" ht="15" hidden="false" customHeight="false" outlineLevel="0" collapsed="false">
      <c r="A43" s="36" t="s">
        <v>303</v>
      </c>
      <c r="B43" s="29" t="s">
        <v>311</v>
      </c>
      <c r="C43" s="30" t="s">
        <v>305</v>
      </c>
      <c r="D43" s="31" t="n">
        <f aca="false">COUNTIF('Track Tags'!$G$5:$G$36,"*"&amp;B43&amp;"*")</f>
        <v>4</v>
      </c>
      <c r="E43" s="32" t="n">
        <f aca="false">IFERROR(D43/31,0)</f>
        <v>0.129032258064516</v>
      </c>
    </row>
    <row r="44" customFormat="false" ht="15" hidden="false" customHeight="false" outlineLevel="0" collapsed="false">
      <c r="A44" s="36" t="s">
        <v>303</v>
      </c>
      <c r="B44" s="29" t="s">
        <v>312</v>
      </c>
      <c r="C44" s="30" t="s">
        <v>305</v>
      </c>
      <c r="D44" s="31" t="n">
        <f aca="false">COUNTIF('Track Tags'!$G$5:$G$36,"*"&amp;B44&amp;"*")</f>
        <v>9</v>
      </c>
      <c r="E44" s="32" t="n">
        <f aca="false">IFERROR(D44/31,0)</f>
        <v>0.290322580645161</v>
      </c>
    </row>
    <row r="46" customFormat="false" ht="25.5" hidden="false" customHeight="true" outlineLevel="0" collapsed="false">
      <c r="A46" s="27" t="s">
        <v>313</v>
      </c>
      <c r="B46" s="27"/>
      <c r="C46" s="27"/>
      <c r="D46" s="27"/>
      <c r="E46" s="27"/>
    </row>
  </sheetData>
  <mergeCells count="1">
    <mergeCell ref="A46:E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2"/>
  </cols>
  <sheetData>
    <row r="1" customFormat="false" ht="19.5" hidden="false" customHeight="true" outlineLevel="0" collapsed="false">
      <c r="A1" s="1" t="s">
        <v>7</v>
      </c>
    </row>
    <row r="2" customFormat="false" ht="15" hidden="false" customHeight="false" outlineLevel="0" collapsed="false">
      <c r="A2" s="2" t="s">
        <v>314</v>
      </c>
    </row>
    <row r="4" customFormat="false" ht="15" hidden="false" customHeight="false" outlineLevel="0" collapsed="false">
      <c r="A4" s="5" t="s">
        <v>315</v>
      </c>
      <c r="B4" s="6"/>
    </row>
    <row r="5" customFormat="false" ht="51.75" hidden="false" customHeight="true" outlineLevel="0" collapsed="false">
      <c r="A5" s="7" t="s">
        <v>316</v>
      </c>
      <c r="B5" s="37" t="s">
        <v>317</v>
      </c>
    </row>
    <row r="6" customFormat="false" ht="39" hidden="false" customHeight="true" outlineLevel="0" collapsed="false">
      <c r="A6" s="7" t="s">
        <v>318</v>
      </c>
      <c r="B6" s="37" t="s">
        <v>319</v>
      </c>
    </row>
    <row r="7" customFormat="false" ht="39" hidden="false" customHeight="true" outlineLevel="0" collapsed="false">
      <c r="A7" s="7" t="s">
        <v>320</v>
      </c>
      <c r="B7" s="37" t="s">
        <v>321</v>
      </c>
    </row>
    <row r="8" customFormat="false" ht="39" hidden="false" customHeight="true" outlineLevel="0" collapsed="false">
      <c r="A8" s="7" t="s">
        <v>322</v>
      </c>
      <c r="B8" s="37" t="s">
        <v>323</v>
      </c>
    </row>
    <row r="9" customFormat="false" ht="30" hidden="false" customHeight="true" outlineLevel="0" collapsed="false">
      <c r="A9" s="7" t="s">
        <v>324</v>
      </c>
      <c r="B9" s="37" t="s">
        <v>325</v>
      </c>
    </row>
    <row r="10" customFormat="false" ht="30" hidden="false" customHeight="true" outlineLevel="0" collapsed="false">
      <c r="A10" s="7" t="s">
        <v>326</v>
      </c>
      <c r="B10" s="37" t="s">
        <v>327</v>
      </c>
    </row>
    <row r="11" customFormat="false" ht="15" hidden="false" customHeight="false" outlineLevel="0" collapsed="false">
      <c r="A11" s="7"/>
      <c r="B11" s="4"/>
    </row>
    <row r="12" customFormat="false" ht="15" hidden="false" customHeight="false" outlineLevel="0" collapsed="false">
      <c r="A12" s="5" t="s">
        <v>328</v>
      </c>
      <c r="B12" s="6"/>
    </row>
    <row r="13" customFormat="false" ht="39" hidden="false" customHeight="true" outlineLevel="0" collapsed="false">
      <c r="A13" s="7" t="s">
        <v>329</v>
      </c>
      <c r="B13" s="37" t="s">
        <v>330</v>
      </c>
    </row>
    <row r="14" customFormat="false" ht="30" hidden="false" customHeight="true" outlineLevel="0" collapsed="false">
      <c r="A14" s="7" t="s">
        <v>331</v>
      </c>
      <c r="B14" s="37" t="s">
        <v>332</v>
      </c>
    </row>
    <row r="15" customFormat="false" ht="30" hidden="false" customHeight="true" outlineLevel="0" collapsed="false">
      <c r="A15" s="7" t="s">
        <v>333</v>
      </c>
      <c r="B15" s="37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62"/>
  </cols>
  <sheetData>
    <row r="1" customFormat="false" ht="19.5" hidden="false" customHeight="true" outlineLevel="0" collapsed="false">
      <c r="A1" s="1" t="s">
        <v>9</v>
      </c>
    </row>
    <row r="2" customFormat="false" ht="15" hidden="false" customHeight="false" outlineLevel="0" collapsed="false">
      <c r="A2" s="2" t="s">
        <v>335</v>
      </c>
    </row>
    <row r="4" customFormat="false" ht="30" hidden="false" customHeight="true" outlineLevel="0" collapsed="false">
      <c r="A4" s="8" t="s">
        <v>336</v>
      </c>
      <c r="B4" s="8" t="s">
        <v>337</v>
      </c>
      <c r="C4" s="8" t="s">
        <v>338</v>
      </c>
    </row>
    <row r="5" customFormat="false" ht="15" hidden="false" customHeight="false" outlineLevel="0" collapsed="false">
      <c r="A5" s="30" t="s">
        <v>339</v>
      </c>
      <c r="B5" s="38" t="n">
        <f aca="false">COUNTA('Track Tags'!$B$5:$B$36)</f>
        <v>32</v>
      </c>
      <c r="C5" s="10" t="s">
        <v>340</v>
      </c>
    </row>
    <row r="6" customFormat="false" ht="15" hidden="false" customHeight="false" outlineLevel="0" collapsed="false">
      <c r="A6" s="30" t="s">
        <v>341</v>
      </c>
      <c r="B6" s="38" t="n">
        <f aca="false">COUNTIF('Track Tags'!$H$5:$H$36,"&gt;0")</f>
        <v>31</v>
      </c>
      <c r="C6" s="10" t="s">
        <v>342</v>
      </c>
    </row>
    <row r="7" customFormat="false" ht="15" hidden="false" customHeight="false" outlineLevel="0" collapsed="false">
      <c r="A7" s="30" t="s">
        <v>343</v>
      </c>
      <c r="B7" s="38" t="n">
        <f aca="false">COUNTIF('Track Tags'!$H$5:$H$36,0)</f>
        <v>1</v>
      </c>
      <c r="C7" s="10" t="s">
        <v>344</v>
      </c>
    </row>
    <row r="8" customFormat="false" ht="15" hidden="false" customHeight="false" outlineLevel="0" collapsed="false">
      <c r="A8" s="30" t="s">
        <v>345</v>
      </c>
      <c r="B8" s="38" t="n">
        <f aca="false">SUM('Track Tags'!$H$5:$H$36)</f>
        <v>382</v>
      </c>
      <c r="C8" s="10" t="s">
        <v>346</v>
      </c>
    </row>
    <row r="9" customFormat="false" ht="15" hidden="false" customHeight="false" outlineLevel="0" collapsed="false">
      <c r="A9" s="30" t="s">
        <v>347</v>
      </c>
      <c r="B9" s="39" t="n">
        <f aca="false">IFERROR(B8/B6,0)</f>
        <v>12.3225806451613</v>
      </c>
      <c r="C9" s="10" t="s">
        <v>348</v>
      </c>
    </row>
    <row r="10" customFormat="false" ht="15" hidden="false" customHeight="false" outlineLevel="0" collapsed="false">
      <c r="A10" s="30" t="s">
        <v>349</v>
      </c>
      <c r="B10" s="38" t="n">
        <f aca="false">COUNTIF('Track Tags'!$I$5:$I$36,"Lyric book + workbook")</f>
        <v>21</v>
      </c>
      <c r="C10" s="10" t="s">
        <v>350</v>
      </c>
    </row>
    <row r="11" customFormat="false" ht="15" hidden="false" customHeight="false" outlineLevel="0" collapsed="false">
      <c r="A11" s="30" t="s">
        <v>100</v>
      </c>
      <c r="B11" s="38" t="n">
        <f aca="false">COUNTIF('Track Tags'!$I$5:$I$36,"Lyric book only")</f>
        <v>10</v>
      </c>
      <c r="C11" s="10" t="s">
        <v>351</v>
      </c>
    </row>
    <row r="12" customFormat="false" ht="15" hidden="false" customHeight="false" outlineLevel="0" collapsed="false">
      <c r="A12" s="30" t="s">
        <v>352</v>
      </c>
      <c r="B12" s="38" t="n">
        <f aca="false">COUNTA('Tag Dictionary'!$B$5:$B$44)</f>
        <v>40</v>
      </c>
      <c r="C12" s="10" t="s">
        <v>353</v>
      </c>
    </row>
    <row r="13" customFormat="false" ht="15" hidden="false" customHeight="false" outlineLevel="0" collapsed="false">
      <c r="A13" s="30" t="s">
        <v>354</v>
      </c>
      <c r="B13" s="38" t="n">
        <f aca="false">COUNTIF('Tag Dictionary'!$D$5:$D$44,"&gt;0")</f>
        <v>40</v>
      </c>
      <c r="C13" s="10" t="s">
        <v>355</v>
      </c>
    </row>
    <row r="15" customFormat="false" ht="15" hidden="false" customHeight="false" outlineLevel="0" collapsed="false">
      <c r="A15" s="40" t="s">
        <v>356</v>
      </c>
    </row>
    <row r="16" customFormat="false" ht="15" hidden="false" customHeight="false" outlineLevel="0" collapsed="false">
      <c r="A16" s="28" t="s">
        <v>44</v>
      </c>
      <c r="B16" s="38" t="n">
        <f aca="false">SUMPRODUCT((LEN('Track Tags'!$C$5:$C$36)-LEN(SUBSTITUTE('Track Tags'!$C$5:$C$36,",","")))+((LEN('Track Tags'!$C$5:$C$36)&gt;0)*1))</f>
        <v>88</v>
      </c>
      <c r="C16" s="10" t="s">
        <v>357</v>
      </c>
    </row>
    <row r="17" customFormat="false" ht="15" hidden="false" customHeight="false" outlineLevel="0" collapsed="false">
      <c r="A17" s="33" t="s">
        <v>45</v>
      </c>
      <c r="B17" s="38" t="n">
        <f aca="false">SUMPRODUCT((LEN('Track Tags'!$D$5:$D$36)-LEN(SUBSTITUTE('Track Tags'!$D$5:$D$36,",","")))+((LEN('Track Tags'!$D$5:$D$36)&gt;0)*1))</f>
        <v>88</v>
      </c>
      <c r="C17" s="10" t="s">
        <v>358</v>
      </c>
    </row>
    <row r="18" customFormat="false" ht="15" hidden="false" customHeight="false" outlineLevel="0" collapsed="false">
      <c r="A18" s="34" t="s">
        <v>46</v>
      </c>
      <c r="B18" s="38" t="n">
        <f aca="false">SUMPRODUCT((LEN('Track Tags'!$E$5:$E$36)-LEN(SUBSTITUTE('Track Tags'!$E$5:$E$36,",","")))+((LEN('Track Tags'!$E$5:$E$36)&gt;0)*1))</f>
        <v>57</v>
      </c>
      <c r="C18" s="10" t="s">
        <v>359</v>
      </c>
    </row>
    <row r="19" customFormat="false" ht="15" hidden="false" customHeight="false" outlineLevel="0" collapsed="false">
      <c r="A19" s="35" t="s">
        <v>47</v>
      </c>
      <c r="B19" s="38" t="n">
        <f aca="false">SUMPRODUCT((LEN('Track Tags'!$F$5:$F$36)-LEN(SUBSTITUTE('Track Tags'!$F$5:$F$36,",","")))+((LEN('Track Tags'!$F$5:$F$36)&gt;0)*1))</f>
        <v>85</v>
      </c>
      <c r="C19" s="10" t="s">
        <v>360</v>
      </c>
    </row>
    <row r="20" customFormat="false" ht="15" hidden="false" customHeight="false" outlineLevel="0" collapsed="false">
      <c r="A20" s="36" t="s">
        <v>48</v>
      </c>
      <c r="B20" s="38" t="n">
        <f aca="false">SUMPRODUCT((LEN('Track Tags'!$G$5:$G$36)-LEN(SUBSTITUTE('Track Tags'!$G$5:$G$36,",","")))+((LEN('Track Tags'!$G$5:$G$36)&gt;0)*1))</f>
        <v>64</v>
      </c>
      <c r="C20" s="10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2026-08-14T05:17:23Z</dcterms:created>
  <dc:creator>openpyxl</dc:creator>
  <dc:description/>
  <dc:language>en-US</dc:language>
  <cp:lastModifiedBy/>
  <dcterms:modified xsi:type="dcterms:W3CDTF">2026-08-14T05:17:23Z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